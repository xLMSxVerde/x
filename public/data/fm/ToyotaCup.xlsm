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Verde\Documents\GitHub\x\public\data\fm\"/>
    </mc:Choice>
  </mc:AlternateContent>
  <bookViews>
    <workbookView xWindow="0" yWindow="0" windowWidth="28800" windowHeight="12360" tabRatio="827" firstSheet="1" activeTab="4"/>
  </bookViews>
  <sheets>
    <sheet name="Information" sheetId="14" r:id="rId1"/>
    <sheet name="Fahrerwertung" sheetId="1" r:id="rId2"/>
    <sheet name="Fahrerauswertung" sheetId="13" r:id="rId3"/>
    <sheet name="Teamliste" sheetId="44" r:id="rId4"/>
    <sheet name="Teamwertung" sheetId="12" r:id="rId5"/>
    <sheet name="Teamauswertung" sheetId="43" r:id="rId6"/>
    <sheet name="Rennen 1" sheetId="2" r:id="rId7"/>
    <sheet name="Rennen 2" sheetId="3" r:id="rId8"/>
    <sheet name="Rennen 3" sheetId="4" r:id="rId9"/>
    <sheet name="Rennen 4" sheetId="5" r:id="rId10"/>
    <sheet name="Rennen 5" sheetId="6" r:id="rId11"/>
    <sheet name="Rennen 6" sheetId="7" r:id="rId12"/>
    <sheet name="Rennen 7" sheetId="8" r:id="rId13"/>
    <sheet name="Rennen 8" sheetId="9" r:id="rId14"/>
    <sheet name="Rennen 9" sheetId="10" r:id="rId15"/>
    <sheet name="Rennen 10" sheetId="11" r:id="rId16"/>
    <sheet name="Rennen 11" sheetId="17" r:id="rId17"/>
    <sheet name="Rennen 12" sheetId="18" r:id="rId18"/>
    <sheet name="Rennen 13" sheetId="19" r:id="rId19"/>
    <sheet name="Rennen 14" sheetId="42" r:id="rId20"/>
    <sheet name="Rennen 15" sheetId="24" r:id="rId21"/>
    <sheet name="Rennen 16" sheetId="25" r:id="rId22"/>
    <sheet name="Rennen 17" sheetId="26" r:id="rId23"/>
    <sheet name="Rennen 18" sheetId="28" r:id="rId24"/>
    <sheet name="Rennen 19" sheetId="29" r:id="rId25"/>
    <sheet name="Rennen 20" sheetId="30" r:id="rId26"/>
    <sheet name="Rennen 21" sheetId="31" r:id="rId27"/>
    <sheet name="Rennen 22" sheetId="32" r:id="rId28"/>
    <sheet name="Rennen 23" sheetId="33" r:id="rId29"/>
    <sheet name="Rennen 24" sheetId="34" r:id="rId30"/>
    <sheet name="Rennen 25" sheetId="35" r:id="rId31"/>
    <sheet name="Rennen 26" sheetId="36" r:id="rId32"/>
    <sheet name="Rennen 27" sheetId="37" r:id="rId33"/>
    <sheet name="Rennen 28" sheetId="38" r:id="rId34"/>
    <sheet name="Rennen 29" sheetId="40" r:id="rId35"/>
    <sheet name="Rennen 30" sheetId="41" r:id="rId36"/>
  </sheets>
  <definedNames>
    <definedName name="_xlnm._FilterDatabase" localSheetId="2" hidden="1">Fahrerauswertung!$F$3:$G$32</definedName>
    <definedName name="_xlnm._FilterDatabase" localSheetId="1" hidden="1">Fahrerwertung!$F$3:$G$32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32" i="12" l="1"/>
  <c r="AH32" i="12"/>
  <c r="AG32" i="12"/>
  <c r="AF32" i="12"/>
  <c r="AE32" i="12"/>
  <c r="AD32" i="12"/>
  <c r="AC32" i="12"/>
  <c r="AB32" i="12"/>
  <c r="AA32" i="12"/>
  <c r="Z32" i="12"/>
  <c r="Y32" i="12"/>
  <c r="X32" i="12"/>
  <c r="W32" i="12"/>
  <c r="V32" i="12"/>
  <c r="U32" i="12"/>
  <c r="T32" i="12"/>
  <c r="S32" i="12"/>
  <c r="R32" i="12"/>
  <c r="Q32" i="12"/>
  <c r="P32" i="12"/>
  <c r="O32" i="12"/>
  <c r="N32" i="12"/>
  <c r="M32" i="12"/>
  <c r="L32" i="12"/>
  <c r="K32" i="12"/>
  <c r="J32" i="12"/>
  <c r="I32" i="12"/>
  <c r="H32" i="12"/>
  <c r="G32" i="12"/>
  <c r="F32" i="12"/>
  <c r="AI31" i="12"/>
  <c r="AH31" i="12"/>
  <c r="AG31" i="12"/>
  <c r="AF31" i="12"/>
  <c r="AE31" i="12"/>
  <c r="AD31" i="12"/>
  <c r="AC31" i="12"/>
  <c r="AB31" i="12"/>
  <c r="AA31" i="12"/>
  <c r="Z31" i="12"/>
  <c r="Y31" i="12"/>
  <c r="X31" i="12"/>
  <c r="W31" i="12"/>
  <c r="V31" i="12"/>
  <c r="U31" i="12"/>
  <c r="T31" i="12"/>
  <c r="S31" i="12"/>
  <c r="R31" i="12"/>
  <c r="Q31" i="12"/>
  <c r="P31" i="12"/>
  <c r="O31" i="12"/>
  <c r="N31" i="12"/>
  <c r="M31" i="12"/>
  <c r="L31" i="12"/>
  <c r="K31" i="12"/>
  <c r="J31" i="12"/>
  <c r="I31" i="12"/>
  <c r="H31" i="12"/>
  <c r="G31" i="12"/>
  <c r="F31" i="12"/>
  <c r="E31" i="12" s="1"/>
  <c r="AI30" i="12"/>
  <c r="AH30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AI29" i="12"/>
  <c r="AH29" i="12"/>
  <c r="AG29" i="12"/>
  <c r="AF29" i="12"/>
  <c r="AE29" i="12"/>
  <c r="AD29" i="12"/>
  <c r="AC29" i="12"/>
  <c r="AB29" i="12"/>
  <c r="AA29" i="12"/>
  <c r="Z29" i="12"/>
  <c r="Y29" i="12"/>
  <c r="X29" i="12"/>
  <c r="W29" i="12"/>
  <c r="V29" i="12"/>
  <c r="U29" i="12"/>
  <c r="T29" i="12"/>
  <c r="S29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AI28" i="12"/>
  <c r="AH28" i="12"/>
  <c r="AG28" i="12"/>
  <c r="AF28" i="12"/>
  <c r="AE28" i="12"/>
  <c r="AD28" i="12"/>
  <c r="AC28" i="12"/>
  <c r="AB28" i="12"/>
  <c r="AA28" i="12"/>
  <c r="Z28" i="12"/>
  <c r="Y28" i="12"/>
  <c r="X28" i="12"/>
  <c r="W28" i="12"/>
  <c r="V28" i="12"/>
  <c r="U28" i="12"/>
  <c r="T28" i="12"/>
  <c r="S28" i="12"/>
  <c r="R28" i="12"/>
  <c r="Q28" i="12"/>
  <c r="P28" i="12"/>
  <c r="O28" i="12"/>
  <c r="N28" i="12"/>
  <c r="M28" i="12"/>
  <c r="L28" i="12"/>
  <c r="K28" i="12"/>
  <c r="J28" i="12"/>
  <c r="I28" i="12"/>
  <c r="H28" i="12"/>
  <c r="G28" i="12"/>
  <c r="F28" i="12"/>
  <c r="AI27" i="12"/>
  <c r="AH27" i="12"/>
  <c r="AG27" i="12"/>
  <c r="AF27" i="12"/>
  <c r="AE27" i="12"/>
  <c r="AD27" i="12"/>
  <c r="AC27" i="12"/>
  <c r="AB27" i="12"/>
  <c r="AA27" i="12"/>
  <c r="Z27" i="12"/>
  <c r="Y27" i="12"/>
  <c r="X27" i="12"/>
  <c r="W27" i="12"/>
  <c r="V27" i="12"/>
  <c r="U27" i="12"/>
  <c r="T27" i="12"/>
  <c r="S27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F27" i="12"/>
  <c r="E27" i="12" s="1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AI25" i="12"/>
  <c r="AH25" i="12"/>
  <c r="AG25" i="12"/>
  <c r="AF25" i="12"/>
  <c r="AE25" i="12"/>
  <c r="AD25" i="12"/>
  <c r="AC25" i="12"/>
  <c r="AB25" i="12"/>
  <c r="AA25" i="12"/>
  <c r="Z25" i="12"/>
  <c r="Y25" i="12"/>
  <c r="X25" i="12"/>
  <c r="W25" i="12"/>
  <c r="V25" i="12"/>
  <c r="U25" i="12"/>
  <c r="T25" i="12"/>
  <c r="S25" i="12"/>
  <c r="R25" i="12"/>
  <c r="Q25" i="12"/>
  <c r="P25" i="12"/>
  <c r="O25" i="12"/>
  <c r="N25" i="12"/>
  <c r="M25" i="12"/>
  <c r="L25" i="12"/>
  <c r="K25" i="12"/>
  <c r="J25" i="12"/>
  <c r="I25" i="12"/>
  <c r="H25" i="12"/>
  <c r="G25" i="12"/>
  <c r="F25" i="12"/>
  <c r="E25" i="12" s="1"/>
  <c r="AI24" i="12"/>
  <c r="AH24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AI23" i="12"/>
  <c r="AH23" i="12"/>
  <c r="AG23" i="12"/>
  <c r="AF23" i="12"/>
  <c r="AE23" i="12"/>
  <c r="AD23" i="12"/>
  <c r="AC23" i="12"/>
  <c r="AB23" i="12"/>
  <c r="AA23" i="12"/>
  <c r="Z23" i="12"/>
  <c r="Y23" i="12"/>
  <c r="X23" i="12"/>
  <c r="W23" i="12"/>
  <c r="V23" i="12"/>
  <c r="U23" i="12"/>
  <c r="T23" i="12"/>
  <c r="S23" i="12"/>
  <c r="R23" i="12"/>
  <c r="Q23" i="12"/>
  <c r="P23" i="12"/>
  <c r="O23" i="12"/>
  <c r="N23" i="12"/>
  <c r="M23" i="12"/>
  <c r="L23" i="12"/>
  <c r="K23" i="12"/>
  <c r="J23" i="12"/>
  <c r="I23" i="12"/>
  <c r="H23" i="12"/>
  <c r="G23" i="12"/>
  <c r="F23" i="12"/>
  <c r="E23" i="12" s="1"/>
  <c r="AI22" i="12"/>
  <c r="AH22" i="12"/>
  <c r="AG22" i="12"/>
  <c r="AF22" i="12"/>
  <c r="AE22" i="12"/>
  <c r="AD22" i="12"/>
  <c r="AC22" i="12"/>
  <c r="AB22" i="12"/>
  <c r="AA22" i="12"/>
  <c r="Z22" i="12"/>
  <c r="Y22" i="12"/>
  <c r="X22" i="12"/>
  <c r="W22" i="12"/>
  <c r="V22" i="12"/>
  <c r="U22" i="12"/>
  <c r="T22" i="12"/>
  <c r="S22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AI21" i="12"/>
  <c r="AH21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 s="1"/>
  <c r="AI20" i="12"/>
  <c r="AH20" i="12"/>
  <c r="AG20" i="12"/>
  <c r="AF20" i="12"/>
  <c r="AE20" i="12"/>
  <c r="AD20" i="12"/>
  <c r="AC20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AI19" i="12"/>
  <c r="AH19" i="12"/>
  <c r="AG19" i="12"/>
  <c r="AF19" i="12"/>
  <c r="AE19" i="12"/>
  <c r="AD19" i="12"/>
  <c r="AC19" i="12"/>
  <c r="AB19" i="12"/>
  <c r="AA19" i="12"/>
  <c r="Z19" i="12"/>
  <c r="Y19" i="12"/>
  <c r="X19" i="12"/>
  <c r="W19" i="12"/>
  <c r="V19" i="12"/>
  <c r="U19" i="12"/>
  <c r="T19" i="12"/>
  <c r="S19" i="12"/>
  <c r="R19" i="12"/>
  <c r="Q19" i="12"/>
  <c r="P19" i="12"/>
  <c r="O19" i="12"/>
  <c r="N19" i="12"/>
  <c r="M19" i="12"/>
  <c r="L19" i="12"/>
  <c r="K19" i="12"/>
  <c r="J19" i="12"/>
  <c r="I19" i="12"/>
  <c r="H19" i="12"/>
  <c r="G19" i="12"/>
  <c r="F19" i="12"/>
  <c r="E19" i="12" s="1"/>
  <c r="AI18" i="12"/>
  <c r="AH18" i="12"/>
  <c r="AG18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AI17" i="12"/>
  <c r="AH17" i="12"/>
  <c r="AG17" i="12"/>
  <c r="AF17" i="12"/>
  <c r="AE17" i="12"/>
  <c r="AD17" i="12"/>
  <c r="AC17" i="12"/>
  <c r="AB17" i="12"/>
  <c r="AA17" i="12"/>
  <c r="Z17" i="12"/>
  <c r="Y17" i="12"/>
  <c r="X17" i="12"/>
  <c r="W17" i="12"/>
  <c r="V17" i="12"/>
  <c r="U17" i="12"/>
  <c r="T17" i="12"/>
  <c r="S17" i="12"/>
  <c r="R17" i="12"/>
  <c r="Q17" i="12"/>
  <c r="P17" i="12"/>
  <c r="O17" i="12"/>
  <c r="N17" i="12"/>
  <c r="M17" i="12"/>
  <c r="L17" i="12"/>
  <c r="K17" i="12"/>
  <c r="J17" i="12"/>
  <c r="I17" i="12"/>
  <c r="H17" i="12"/>
  <c r="G17" i="12"/>
  <c r="F17" i="12"/>
  <c r="E17" i="12" s="1"/>
  <c r="AI16" i="12"/>
  <c r="AH16" i="12"/>
  <c r="AG16" i="12"/>
  <c r="AF16" i="12"/>
  <c r="AE16" i="12"/>
  <c r="AD16" i="12"/>
  <c r="AC16" i="12"/>
  <c r="AB16" i="12"/>
  <c r="AA16" i="12"/>
  <c r="Z16" i="12"/>
  <c r="Y16" i="12"/>
  <c r="X16" i="12"/>
  <c r="W16" i="12"/>
  <c r="V16" i="12"/>
  <c r="U16" i="12"/>
  <c r="T16" i="12"/>
  <c r="S16" i="12"/>
  <c r="R16" i="12"/>
  <c r="Q16" i="12"/>
  <c r="P16" i="12"/>
  <c r="O16" i="12"/>
  <c r="N16" i="12"/>
  <c r="M16" i="12"/>
  <c r="L16" i="12"/>
  <c r="K16" i="12"/>
  <c r="J16" i="12"/>
  <c r="I16" i="12"/>
  <c r="H16" i="12"/>
  <c r="G16" i="12"/>
  <c r="F16" i="12"/>
  <c r="AI15" i="12"/>
  <c r="AH15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 s="1"/>
  <c r="AI14" i="12"/>
  <c r="AH14" i="12"/>
  <c r="AG14" i="12"/>
  <c r="AF14" i="12"/>
  <c r="AE14" i="12"/>
  <c r="AD14" i="12"/>
  <c r="AC14" i="12"/>
  <c r="AB14" i="12"/>
  <c r="AA14" i="12"/>
  <c r="Z14" i="12"/>
  <c r="Y14" i="12"/>
  <c r="X14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AI13" i="12"/>
  <c r="AH13" i="12"/>
  <c r="AG13" i="12"/>
  <c r="AF13" i="12"/>
  <c r="AE13" i="12"/>
  <c r="AD13" i="12"/>
  <c r="AC13" i="12"/>
  <c r="AB13" i="12"/>
  <c r="AA13" i="12"/>
  <c r="Z13" i="12"/>
  <c r="Y13" i="12"/>
  <c r="X13" i="12"/>
  <c r="W13" i="12"/>
  <c r="V13" i="12"/>
  <c r="U13" i="12"/>
  <c r="T13" i="12"/>
  <c r="S13" i="12"/>
  <c r="R13" i="12"/>
  <c r="Q13" i="12"/>
  <c r="P13" i="12"/>
  <c r="O13" i="12"/>
  <c r="N13" i="12"/>
  <c r="M13" i="12"/>
  <c r="L13" i="12"/>
  <c r="K13" i="12"/>
  <c r="J13" i="12"/>
  <c r="I13" i="12"/>
  <c r="H13" i="12"/>
  <c r="G13" i="12"/>
  <c r="F13" i="12"/>
  <c r="E13" i="12" s="1"/>
  <c r="AI12" i="12"/>
  <c r="AH12" i="12"/>
  <c r="AG12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AI11" i="12"/>
  <c r="AH11" i="12"/>
  <c r="AG11" i="12"/>
  <c r="AF11" i="12"/>
  <c r="AE11" i="12"/>
  <c r="AD11" i="12"/>
  <c r="AC11" i="12"/>
  <c r="AB11" i="12"/>
  <c r="AA11" i="12"/>
  <c r="Z11" i="12"/>
  <c r="Y11" i="12"/>
  <c r="X11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E11" i="12" s="1"/>
  <c r="AI10" i="12"/>
  <c r="AH10" i="12"/>
  <c r="AG10" i="12"/>
  <c r="AF10" i="12"/>
  <c r="AE10" i="12"/>
  <c r="AD10" i="12"/>
  <c r="AC10" i="12"/>
  <c r="AB10" i="12"/>
  <c r="AA10" i="12"/>
  <c r="Z10" i="12"/>
  <c r="Y10" i="12"/>
  <c r="X10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AI9" i="12"/>
  <c r="AH9" i="12"/>
  <c r="AG9" i="12"/>
  <c r="AF9" i="12"/>
  <c r="AE9" i="12"/>
  <c r="AD9" i="12"/>
  <c r="AC9" i="12"/>
  <c r="AB9" i="12"/>
  <c r="AA9" i="12"/>
  <c r="Z9" i="12"/>
  <c r="Y9" i="12"/>
  <c r="X9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E9" i="12" s="1"/>
  <c r="AI8" i="12"/>
  <c r="AH8" i="12"/>
  <c r="AG8" i="12"/>
  <c r="AF8" i="12"/>
  <c r="AE8" i="12"/>
  <c r="AD8" i="12"/>
  <c r="AC8" i="12"/>
  <c r="AB8" i="12"/>
  <c r="AA8" i="12"/>
  <c r="Z8" i="12"/>
  <c r="Y8" i="12"/>
  <c r="X8" i="12"/>
  <c r="W8" i="12"/>
  <c r="V8" i="12"/>
  <c r="U8" i="12"/>
  <c r="T8" i="12"/>
  <c r="S8" i="12"/>
  <c r="R8" i="12"/>
  <c r="Q8" i="12"/>
  <c r="P8" i="12"/>
  <c r="O8" i="12"/>
  <c r="N8" i="12"/>
  <c r="M8" i="12"/>
  <c r="L8" i="12"/>
  <c r="K8" i="12"/>
  <c r="J8" i="12"/>
  <c r="I8" i="12"/>
  <c r="H8" i="12"/>
  <c r="G8" i="12"/>
  <c r="F8" i="12"/>
  <c r="AI7" i="12"/>
  <c r="AH7" i="12"/>
  <c r="AG7" i="12"/>
  <c r="AF7" i="12"/>
  <c r="AE7" i="12"/>
  <c r="AD7" i="12"/>
  <c r="AC7" i="12"/>
  <c r="AB7" i="12"/>
  <c r="AA7" i="12"/>
  <c r="Z7" i="12"/>
  <c r="Y7" i="12"/>
  <c r="X7" i="12"/>
  <c r="W7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E7" i="12" s="1"/>
  <c r="AI6" i="12"/>
  <c r="AH6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AI5" i="12"/>
  <c r="AH5" i="12"/>
  <c r="AG5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G5" i="12"/>
  <c r="F5" i="12"/>
  <c r="E5" i="12" s="1"/>
  <c r="AI4" i="12"/>
  <c r="AH4" i="12"/>
  <c r="AG4" i="12"/>
  <c r="AF4" i="12"/>
  <c r="AE4" i="12"/>
  <c r="AD4" i="12"/>
  <c r="AC4" i="12"/>
  <c r="AB4" i="12"/>
  <c r="AA4" i="12"/>
  <c r="Z4" i="12"/>
  <c r="Y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AI3" i="12"/>
  <c r="AH3" i="12"/>
  <c r="AG3" i="12"/>
  <c r="AF3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Q3" i="12"/>
  <c r="P3" i="12"/>
  <c r="O3" i="12"/>
  <c r="N3" i="12"/>
  <c r="M3" i="12"/>
  <c r="L3" i="12"/>
  <c r="K3" i="12"/>
  <c r="J3" i="12"/>
  <c r="I3" i="12"/>
  <c r="H3" i="12"/>
  <c r="G3" i="12"/>
  <c r="F3" i="12"/>
  <c r="E3" i="12" s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H32" i="1"/>
  <c r="G32" i="1"/>
  <c r="F32" i="1"/>
  <c r="E32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 s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E28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D27" i="1" s="1"/>
  <c r="E27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D26" i="1" s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 s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 s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D12" i="1" s="1"/>
  <c r="G12" i="1"/>
  <c r="F12" i="1"/>
  <c r="E12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D8" i="1" s="1"/>
  <c r="F8" i="1"/>
  <c r="E8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 s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 s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E8" i="12" l="1"/>
  <c r="E12" i="12"/>
  <c r="E16" i="12"/>
  <c r="E20" i="12"/>
  <c r="E24" i="12"/>
  <c r="E28" i="12"/>
  <c r="E32" i="12"/>
  <c r="E6" i="12"/>
  <c r="E10" i="12"/>
  <c r="E14" i="12"/>
  <c r="E18" i="12"/>
  <c r="E22" i="12"/>
  <c r="E29" i="12"/>
  <c r="E4" i="12"/>
  <c r="E26" i="12"/>
  <c r="E30" i="12"/>
  <c r="D29" i="1"/>
  <c r="D5" i="1"/>
  <c r="D4" i="1"/>
  <c r="D13" i="1"/>
  <c r="D19" i="1"/>
  <c r="D28" i="1"/>
  <c r="D30" i="1"/>
  <c r="D3" i="1"/>
  <c r="D11" i="1"/>
  <c r="D10" i="1"/>
  <c r="D18" i="1"/>
  <c r="D17" i="1"/>
  <c r="D21" i="1"/>
  <c r="D32" i="1"/>
  <c r="D6" i="1"/>
  <c r="D7" i="1"/>
  <c r="D14" i="1"/>
  <c r="D16" i="1"/>
  <c r="D15" i="1"/>
  <c r="D22" i="1"/>
  <c r="D25" i="1"/>
  <c r="G26" i="41" l="1"/>
  <c r="D26" i="41"/>
  <c r="G25" i="41"/>
  <c r="D25" i="41"/>
  <c r="G24" i="41"/>
  <c r="D24" i="41"/>
  <c r="G23" i="41"/>
  <c r="D23" i="41"/>
  <c r="G22" i="41"/>
  <c r="D22" i="41"/>
  <c r="G21" i="41"/>
  <c r="D21" i="41"/>
  <c r="G20" i="41"/>
  <c r="D20" i="41"/>
  <c r="G19" i="41"/>
  <c r="D19" i="41"/>
  <c r="G18" i="41"/>
  <c r="D18" i="41"/>
  <c r="G17" i="41"/>
  <c r="D17" i="41"/>
  <c r="G16" i="41"/>
  <c r="D16" i="41"/>
  <c r="G15" i="41"/>
  <c r="D15" i="41"/>
  <c r="G14" i="41"/>
  <c r="D14" i="41"/>
  <c r="G13" i="41"/>
  <c r="D13" i="41"/>
  <c r="G12" i="41"/>
  <c r="D12" i="41"/>
  <c r="G11" i="41"/>
  <c r="D11" i="41"/>
  <c r="G10" i="41"/>
  <c r="D10" i="41"/>
  <c r="G9" i="41"/>
  <c r="D9" i="41"/>
  <c r="G8" i="41"/>
  <c r="D8" i="41"/>
  <c r="G7" i="41"/>
  <c r="D7" i="41"/>
  <c r="G6" i="41"/>
  <c r="D6" i="41"/>
  <c r="G5" i="41"/>
  <c r="D5" i="41"/>
  <c r="G4" i="41"/>
  <c r="D4" i="41"/>
  <c r="D3" i="41"/>
  <c r="G26" i="40"/>
  <c r="D26" i="40"/>
  <c r="G25" i="40"/>
  <c r="D25" i="40"/>
  <c r="G24" i="40"/>
  <c r="D24" i="40"/>
  <c r="G23" i="40"/>
  <c r="D23" i="40"/>
  <c r="G22" i="40"/>
  <c r="D22" i="40"/>
  <c r="G21" i="40"/>
  <c r="D21" i="40"/>
  <c r="G20" i="40"/>
  <c r="D20" i="40"/>
  <c r="G19" i="40"/>
  <c r="D19" i="40"/>
  <c r="G18" i="40"/>
  <c r="D18" i="40"/>
  <c r="G17" i="40"/>
  <c r="D17" i="40"/>
  <c r="G16" i="40"/>
  <c r="D16" i="40"/>
  <c r="G15" i="40"/>
  <c r="D15" i="40"/>
  <c r="G14" i="40"/>
  <c r="D14" i="40"/>
  <c r="G13" i="40"/>
  <c r="D13" i="40"/>
  <c r="G12" i="40"/>
  <c r="D12" i="40"/>
  <c r="G11" i="40"/>
  <c r="D11" i="40"/>
  <c r="G10" i="40"/>
  <c r="D10" i="40"/>
  <c r="G9" i="40"/>
  <c r="D9" i="40"/>
  <c r="G8" i="40"/>
  <c r="D8" i="40"/>
  <c r="G7" i="40"/>
  <c r="D7" i="40"/>
  <c r="G6" i="40"/>
  <c r="D6" i="40"/>
  <c r="G5" i="40"/>
  <c r="D5" i="40"/>
  <c r="G4" i="40"/>
  <c r="D4" i="40"/>
  <c r="D3" i="40"/>
  <c r="G26" i="38"/>
  <c r="D26" i="38"/>
  <c r="G25" i="38"/>
  <c r="D25" i="38"/>
  <c r="G24" i="38"/>
  <c r="D24" i="38"/>
  <c r="G23" i="38"/>
  <c r="D23" i="38"/>
  <c r="G22" i="38"/>
  <c r="D22" i="38"/>
  <c r="G21" i="38"/>
  <c r="D21" i="38"/>
  <c r="G20" i="38"/>
  <c r="D20" i="38"/>
  <c r="G19" i="38"/>
  <c r="D19" i="38"/>
  <c r="G18" i="38"/>
  <c r="D18" i="38"/>
  <c r="G17" i="38"/>
  <c r="D17" i="38"/>
  <c r="G16" i="38"/>
  <c r="D16" i="38"/>
  <c r="G15" i="38"/>
  <c r="D15" i="38"/>
  <c r="G14" i="38"/>
  <c r="D14" i="38"/>
  <c r="G13" i="38"/>
  <c r="D13" i="38"/>
  <c r="G12" i="38"/>
  <c r="D12" i="38"/>
  <c r="G11" i="38"/>
  <c r="D11" i="38"/>
  <c r="G10" i="38"/>
  <c r="D10" i="38"/>
  <c r="G9" i="38"/>
  <c r="D9" i="38"/>
  <c r="G8" i="38"/>
  <c r="D8" i="38"/>
  <c r="G7" i="38"/>
  <c r="D7" i="38"/>
  <c r="G6" i="38"/>
  <c r="D6" i="38"/>
  <c r="G5" i="38"/>
  <c r="D5" i="38"/>
  <c r="G4" i="38"/>
  <c r="D4" i="38"/>
  <c r="D3" i="38"/>
  <c r="G26" i="37"/>
  <c r="D26" i="37"/>
  <c r="G25" i="37"/>
  <c r="D25" i="37"/>
  <c r="G24" i="37"/>
  <c r="D24" i="37"/>
  <c r="G23" i="37"/>
  <c r="D23" i="37"/>
  <c r="G22" i="37"/>
  <c r="D22" i="37"/>
  <c r="G21" i="37"/>
  <c r="D21" i="37"/>
  <c r="G20" i="37"/>
  <c r="D20" i="37"/>
  <c r="G19" i="37"/>
  <c r="D19" i="37"/>
  <c r="G18" i="37"/>
  <c r="D18" i="37"/>
  <c r="G17" i="37"/>
  <c r="D17" i="37"/>
  <c r="G16" i="37"/>
  <c r="D16" i="37"/>
  <c r="G15" i="37"/>
  <c r="D15" i="37"/>
  <c r="G14" i="37"/>
  <c r="D14" i="37"/>
  <c r="G13" i="37"/>
  <c r="D13" i="37"/>
  <c r="G12" i="37"/>
  <c r="D12" i="37"/>
  <c r="G11" i="37"/>
  <c r="D11" i="37"/>
  <c r="G10" i="37"/>
  <c r="D10" i="37"/>
  <c r="G9" i="37"/>
  <c r="D9" i="37"/>
  <c r="G8" i="37"/>
  <c r="D8" i="37"/>
  <c r="G7" i="37"/>
  <c r="D7" i="37"/>
  <c r="G6" i="37"/>
  <c r="D6" i="37"/>
  <c r="G5" i="37"/>
  <c r="D5" i="37"/>
  <c r="G4" i="37"/>
  <c r="D4" i="37"/>
  <c r="D3" i="37"/>
  <c r="G26" i="36"/>
  <c r="D26" i="36"/>
  <c r="G25" i="36"/>
  <c r="D25" i="36"/>
  <c r="G24" i="36"/>
  <c r="D24" i="36"/>
  <c r="G23" i="36"/>
  <c r="D23" i="36"/>
  <c r="G22" i="36"/>
  <c r="D22" i="36"/>
  <c r="G21" i="36"/>
  <c r="D21" i="36"/>
  <c r="G20" i="36"/>
  <c r="D20" i="36"/>
  <c r="G19" i="36"/>
  <c r="D19" i="36"/>
  <c r="G18" i="36"/>
  <c r="D18" i="36"/>
  <c r="G17" i="36"/>
  <c r="D17" i="36"/>
  <c r="G16" i="36"/>
  <c r="D16" i="36"/>
  <c r="G15" i="36"/>
  <c r="D15" i="36"/>
  <c r="G14" i="36"/>
  <c r="D14" i="36"/>
  <c r="G13" i="36"/>
  <c r="D13" i="36"/>
  <c r="G12" i="36"/>
  <c r="D12" i="36"/>
  <c r="G11" i="36"/>
  <c r="D11" i="36"/>
  <c r="G10" i="36"/>
  <c r="D10" i="36"/>
  <c r="G9" i="36"/>
  <c r="D9" i="36"/>
  <c r="G8" i="36"/>
  <c r="D8" i="36"/>
  <c r="G7" i="36"/>
  <c r="D7" i="36"/>
  <c r="G6" i="36"/>
  <c r="D6" i="36"/>
  <c r="G5" i="36"/>
  <c r="D5" i="36"/>
  <c r="G4" i="36"/>
  <c r="D4" i="36"/>
  <c r="D3" i="36"/>
  <c r="G26" i="35"/>
  <c r="D26" i="35"/>
  <c r="G25" i="35"/>
  <c r="D25" i="35"/>
  <c r="G24" i="35"/>
  <c r="D24" i="35"/>
  <c r="G23" i="35"/>
  <c r="D23" i="35"/>
  <c r="G22" i="35"/>
  <c r="D22" i="35"/>
  <c r="G21" i="35"/>
  <c r="D21" i="35"/>
  <c r="G20" i="35"/>
  <c r="D20" i="35"/>
  <c r="G19" i="35"/>
  <c r="D19" i="35"/>
  <c r="G18" i="35"/>
  <c r="D18" i="35"/>
  <c r="G17" i="35"/>
  <c r="D17" i="35"/>
  <c r="G16" i="35"/>
  <c r="D16" i="35"/>
  <c r="G15" i="35"/>
  <c r="D15" i="35"/>
  <c r="G14" i="35"/>
  <c r="D14" i="35"/>
  <c r="G13" i="35"/>
  <c r="D13" i="35"/>
  <c r="G12" i="35"/>
  <c r="D12" i="35"/>
  <c r="G11" i="35"/>
  <c r="D11" i="35"/>
  <c r="G10" i="35"/>
  <c r="D10" i="35"/>
  <c r="G9" i="35"/>
  <c r="D9" i="35"/>
  <c r="G8" i="35"/>
  <c r="D8" i="35"/>
  <c r="G7" i="35"/>
  <c r="D7" i="35"/>
  <c r="G6" i="35"/>
  <c r="D6" i="35"/>
  <c r="G5" i="35"/>
  <c r="D5" i="35"/>
  <c r="G4" i="35"/>
  <c r="D4" i="35"/>
  <c r="D3" i="35"/>
  <c r="G26" i="34"/>
  <c r="D26" i="34"/>
  <c r="G25" i="34"/>
  <c r="D25" i="34"/>
  <c r="G24" i="34"/>
  <c r="D24" i="34"/>
  <c r="G23" i="34"/>
  <c r="D23" i="34"/>
  <c r="G22" i="34"/>
  <c r="D22" i="34"/>
  <c r="G21" i="34"/>
  <c r="D21" i="34"/>
  <c r="G20" i="34"/>
  <c r="D20" i="34"/>
  <c r="G19" i="34"/>
  <c r="D19" i="34"/>
  <c r="G18" i="34"/>
  <c r="D18" i="34"/>
  <c r="G17" i="34"/>
  <c r="D17" i="34"/>
  <c r="G16" i="34"/>
  <c r="D16" i="34"/>
  <c r="G15" i="34"/>
  <c r="D15" i="34"/>
  <c r="G14" i="34"/>
  <c r="D14" i="34"/>
  <c r="G13" i="34"/>
  <c r="D13" i="34"/>
  <c r="G12" i="34"/>
  <c r="D12" i="34"/>
  <c r="G11" i="34"/>
  <c r="D11" i="34"/>
  <c r="G10" i="34"/>
  <c r="D10" i="34"/>
  <c r="G9" i="34"/>
  <c r="D9" i="34"/>
  <c r="G8" i="34"/>
  <c r="D8" i="34"/>
  <c r="G7" i="34"/>
  <c r="D7" i="34"/>
  <c r="G6" i="34"/>
  <c r="D6" i="34"/>
  <c r="G5" i="34"/>
  <c r="D5" i="34"/>
  <c r="G4" i="34"/>
  <c r="D4" i="34"/>
  <c r="D3" i="34"/>
  <c r="G26" i="33"/>
  <c r="D26" i="33"/>
  <c r="G25" i="33"/>
  <c r="D25" i="33"/>
  <c r="G24" i="33"/>
  <c r="D24" i="33"/>
  <c r="G23" i="33"/>
  <c r="D23" i="33"/>
  <c r="G22" i="33"/>
  <c r="D22" i="33"/>
  <c r="G21" i="33"/>
  <c r="D21" i="33"/>
  <c r="G20" i="33"/>
  <c r="D20" i="33"/>
  <c r="G19" i="33"/>
  <c r="D19" i="33"/>
  <c r="G18" i="33"/>
  <c r="D18" i="33"/>
  <c r="G17" i="33"/>
  <c r="D17" i="33"/>
  <c r="G16" i="33"/>
  <c r="D16" i="33"/>
  <c r="G15" i="33"/>
  <c r="D15" i="33"/>
  <c r="G14" i="33"/>
  <c r="D14" i="33"/>
  <c r="G13" i="33"/>
  <c r="D13" i="33"/>
  <c r="G12" i="33"/>
  <c r="D12" i="33"/>
  <c r="G11" i="33"/>
  <c r="D11" i="33"/>
  <c r="G10" i="33"/>
  <c r="D10" i="33"/>
  <c r="G9" i="33"/>
  <c r="D9" i="33"/>
  <c r="G8" i="33"/>
  <c r="D8" i="33"/>
  <c r="G7" i="33"/>
  <c r="D7" i="33"/>
  <c r="G6" i="33"/>
  <c r="D6" i="33"/>
  <c r="G5" i="33"/>
  <c r="D5" i="33"/>
  <c r="G4" i="33"/>
  <c r="D4" i="33"/>
  <c r="D3" i="33"/>
  <c r="G26" i="32"/>
  <c r="D26" i="32"/>
  <c r="G25" i="32"/>
  <c r="D25" i="32"/>
  <c r="G24" i="32"/>
  <c r="D24" i="32"/>
  <c r="G23" i="32"/>
  <c r="D23" i="32"/>
  <c r="G22" i="32"/>
  <c r="D22" i="32"/>
  <c r="G21" i="32"/>
  <c r="D21" i="32"/>
  <c r="G20" i="32"/>
  <c r="D20" i="32"/>
  <c r="G19" i="32"/>
  <c r="D19" i="32"/>
  <c r="G18" i="32"/>
  <c r="D18" i="32"/>
  <c r="G17" i="32"/>
  <c r="D17" i="32"/>
  <c r="G26" i="31"/>
  <c r="D26" i="31"/>
  <c r="G25" i="31"/>
  <c r="D25" i="31"/>
  <c r="G24" i="31"/>
  <c r="D24" i="31"/>
  <c r="G23" i="31"/>
  <c r="D23" i="31"/>
  <c r="G22" i="31"/>
  <c r="D22" i="31"/>
  <c r="G21" i="31"/>
  <c r="D21" i="31"/>
  <c r="G20" i="31"/>
  <c r="D20" i="31"/>
  <c r="G19" i="31"/>
  <c r="D19" i="31"/>
  <c r="G18" i="31"/>
  <c r="D18" i="31"/>
  <c r="G17" i="31"/>
  <c r="D17" i="31"/>
  <c r="G16" i="31"/>
  <c r="G15" i="31"/>
  <c r="G14" i="31"/>
  <c r="G13" i="31"/>
  <c r="G12" i="31"/>
  <c r="G11" i="31"/>
  <c r="G10" i="31"/>
  <c r="G9" i="31"/>
  <c r="G8" i="31"/>
  <c r="G7" i="31"/>
  <c r="G6" i="31"/>
  <c r="G5" i="31"/>
  <c r="G4" i="31"/>
  <c r="G26" i="30"/>
  <c r="D26" i="30"/>
  <c r="G25" i="30"/>
  <c r="D25" i="30"/>
  <c r="G24" i="30"/>
  <c r="D24" i="30"/>
  <c r="G23" i="30"/>
  <c r="D23" i="30"/>
  <c r="G22" i="30"/>
  <c r="D22" i="30"/>
  <c r="G21" i="30"/>
  <c r="D21" i="30"/>
  <c r="G20" i="30"/>
  <c r="D20" i="30"/>
  <c r="G19" i="30"/>
  <c r="D19" i="30"/>
  <c r="G18" i="30"/>
  <c r="D18" i="30"/>
  <c r="G17" i="30"/>
  <c r="D17" i="30"/>
  <c r="G26" i="29"/>
  <c r="D26" i="29"/>
  <c r="G25" i="29"/>
  <c r="D25" i="29"/>
  <c r="G24" i="29"/>
  <c r="D24" i="29"/>
  <c r="G23" i="29"/>
  <c r="D23" i="29"/>
  <c r="G22" i="29"/>
  <c r="D22" i="29"/>
  <c r="G21" i="29"/>
  <c r="D21" i="29"/>
  <c r="G20" i="29"/>
  <c r="D20" i="29"/>
  <c r="G19" i="29"/>
  <c r="D19" i="29"/>
  <c r="G18" i="29"/>
  <c r="D18" i="29"/>
  <c r="G17" i="29"/>
  <c r="D17" i="29"/>
  <c r="G16" i="29"/>
  <c r="G15" i="29"/>
  <c r="G14" i="29"/>
  <c r="G13" i="29"/>
  <c r="G12" i="29"/>
  <c r="G11" i="29"/>
  <c r="G10" i="29"/>
  <c r="G9" i="29"/>
  <c r="G8" i="29"/>
  <c r="G7" i="29"/>
  <c r="G6" i="29"/>
  <c r="G5" i="29"/>
  <c r="G4" i="29"/>
  <c r="G10" i="26"/>
  <c r="G9" i="26"/>
  <c r="G8" i="26"/>
  <c r="G7" i="26"/>
  <c r="G6" i="26"/>
  <c r="G5" i="26"/>
  <c r="G4" i="26"/>
  <c r="G7" i="24"/>
  <c r="G6" i="24"/>
  <c r="G5" i="24"/>
  <c r="G4" i="24"/>
  <c r="G11" i="19"/>
  <c r="G10" i="19"/>
  <c r="G9" i="19"/>
  <c r="G8" i="19"/>
  <c r="G7" i="19"/>
  <c r="G6" i="19"/>
  <c r="G5" i="19"/>
  <c r="G4" i="19"/>
  <c r="G12" i="17"/>
  <c r="G11" i="17"/>
  <c r="G10" i="17"/>
  <c r="G9" i="17"/>
  <c r="G8" i="17"/>
  <c r="G7" i="17"/>
  <c r="G6" i="17"/>
  <c r="G5" i="17"/>
  <c r="G4" i="17"/>
  <c r="G9" i="10"/>
  <c r="G8" i="10"/>
  <c r="G7" i="10"/>
  <c r="G6" i="10"/>
  <c r="G5" i="10"/>
  <c r="G4" i="10"/>
  <c r="G11" i="8"/>
  <c r="G10" i="8"/>
  <c r="G9" i="8"/>
  <c r="G8" i="8"/>
  <c r="G7" i="8"/>
  <c r="G6" i="8"/>
  <c r="G5" i="8"/>
  <c r="G4" i="8"/>
  <c r="G11" i="6"/>
  <c r="G10" i="6"/>
  <c r="G9" i="6"/>
  <c r="G8" i="6"/>
  <c r="G7" i="6"/>
  <c r="G6" i="6"/>
  <c r="G5" i="6"/>
  <c r="G4" i="6"/>
  <c r="G14" i="4"/>
  <c r="G13" i="4"/>
  <c r="G12" i="4"/>
  <c r="G11" i="4"/>
  <c r="G10" i="4"/>
  <c r="G9" i="4"/>
  <c r="G8" i="4"/>
  <c r="G7" i="4"/>
  <c r="G6" i="4"/>
  <c r="G5" i="4"/>
  <c r="G4" i="4"/>
  <c r="AE6" i="43" l="1"/>
  <c r="AC7" i="43"/>
  <c r="Y4" i="43"/>
  <c r="U7" i="43"/>
  <c r="P4" i="43"/>
  <c r="O4" i="43"/>
  <c r="N21" i="43"/>
  <c r="M5" i="43"/>
  <c r="H5" i="43"/>
  <c r="G4" i="43"/>
  <c r="AI5" i="43"/>
  <c r="AI9" i="43"/>
  <c r="AI13" i="43"/>
  <c r="AI17" i="43"/>
  <c r="AI21" i="43"/>
  <c r="AI25" i="43"/>
  <c r="AI29" i="43"/>
  <c r="AH8" i="43"/>
  <c r="AH12" i="43"/>
  <c r="AH16" i="43"/>
  <c r="AH20" i="43"/>
  <c r="AH24" i="43"/>
  <c r="AH28" i="43"/>
  <c r="AH32" i="43"/>
  <c r="AG6" i="43"/>
  <c r="AG10" i="43"/>
  <c r="AG14" i="43"/>
  <c r="AG18" i="43"/>
  <c r="AG22" i="43"/>
  <c r="AG26" i="43"/>
  <c r="AG30" i="43"/>
  <c r="AF7" i="43"/>
  <c r="AF11" i="43"/>
  <c r="AF15" i="43"/>
  <c r="AF19" i="43"/>
  <c r="AF23" i="43"/>
  <c r="AF27" i="43"/>
  <c r="AF31" i="43"/>
  <c r="AE5" i="43"/>
  <c r="AE9" i="43"/>
  <c r="AE13" i="43"/>
  <c r="AE17" i="43"/>
  <c r="AE21" i="43"/>
  <c r="AE25" i="43"/>
  <c r="AE29" i="43"/>
  <c r="AD5" i="43"/>
  <c r="AD7" i="43"/>
  <c r="AD9" i="43"/>
  <c r="AD11" i="43"/>
  <c r="AD13" i="43"/>
  <c r="AD15" i="43"/>
  <c r="AD17" i="43"/>
  <c r="AD19" i="43"/>
  <c r="AD21" i="43"/>
  <c r="AD23" i="43"/>
  <c r="AD25" i="43"/>
  <c r="AD27" i="43"/>
  <c r="AD29" i="43"/>
  <c r="AD31" i="43"/>
  <c r="AC4" i="43"/>
  <c r="AC8" i="43"/>
  <c r="AC12" i="43"/>
  <c r="AC16" i="43"/>
  <c r="AC20" i="43"/>
  <c r="AC24" i="43"/>
  <c r="AC28" i="43"/>
  <c r="AC32" i="43"/>
  <c r="AB5" i="43"/>
  <c r="AB7" i="43"/>
  <c r="AB9" i="43"/>
  <c r="AB11" i="43"/>
  <c r="AB13" i="43"/>
  <c r="AB15" i="43"/>
  <c r="AB17" i="43"/>
  <c r="AB19" i="43"/>
  <c r="AB21" i="43"/>
  <c r="AB23" i="43"/>
  <c r="AB25" i="43"/>
  <c r="AB27" i="43"/>
  <c r="AB29" i="43"/>
  <c r="AB31" i="43"/>
  <c r="AA7" i="43"/>
  <c r="AA11" i="43"/>
  <c r="AA15" i="43"/>
  <c r="AA19" i="43"/>
  <c r="AA23" i="43"/>
  <c r="AA27" i="43"/>
  <c r="AA31" i="43"/>
  <c r="Z6" i="43"/>
  <c r="Z10" i="43"/>
  <c r="Z14" i="43"/>
  <c r="Z18" i="43"/>
  <c r="Z22" i="43"/>
  <c r="Z26" i="43"/>
  <c r="Z30" i="43"/>
  <c r="Y7" i="43"/>
  <c r="Y11" i="43"/>
  <c r="Y15" i="43"/>
  <c r="Y19" i="43"/>
  <c r="Y23" i="43"/>
  <c r="Y27" i="43"/>
  <c r="Y31" i="43"/>
  <c r="X5" i="43"/>
  <c r="X7" i="43"/>
  <c r="X9" i="43"/>
  <c r="X11" i="43"/>
  <c r="X13" i="43"/>
  <c r="X15" i="43"/>
  <c r="X17" i="43"/>
  <c r="X19" i="43"/>
  <c r="X21" i="43"/>
  <c r="X23" i="43"/>
  <c r="X25" i="43"/>
  <c r="X27" i="43"/>
  <c r="X29" i="43"/>
  <c r="X31" i="43"/>
  <c r="W4" i="43"/>
  <c r="W8" i="43"/>
  <c r="W12" i="43"/>
  <c r="W16" i="43"/>
  <c r="W20" i="43"/>
  <c r="W24" i="43"/>
  <c r="W28" i="43"/>
  <c r="W32" i="43"/>
  <c r="V6" i="43"/>
  <c r="V10" i="43"/>
  <c r="V14" i="43"/>
  <c r="V18" i="43"/>
  <c r="V22" i="43"/>
  <c r="V26" i="43"/>
  <c r="V30" i="43"/>
  <c r="U6" i="43"/>
  <c r="U10" i="43"/>
  <c r="U14" i="43"/>
  <c r="U18" i="43"/>
  <c r="U22" i="43"/>
  <c r="U26" i="43"/>
  <c r="U30" i="43"/>
  <c r="T7" i="43"/>
  <c r="T11" i="43"/>
  <c r="T15" i="43"/>
  <c r="T19" i="43"/>
  <c r="T23" i="43"/>
  <c r="T27" i="43"/>
  <c r="T31" i="43"/>
  <c r="S5" i="43"/>
  <c r="S9" i="43"/>
  <c r="S13" i="43"/>
  <c r="S17" i="43"/>
  <c r="S21" i="43"/>
  <c r="S25" i="43"/>
  <c r="S29" i="43"/>
  <c r="R7" i="43"/>
  <c r="R11" i="43"/>
  <c r="R15" i="43"/>
  <c r="R19" i="43"/>
  <c r="R23" i="43"/>
  <c r="R27" i="43"/>
  <c r="R31" i="43"/>
  <c r="Q4" i="43"/>
  <c r="Q5" i="43"/>
  <c r="Q8" i="43"/>
  <c r="Q9" i="43"/>
  <c r="Q12" i="43"/>
  <c r="Q13" i="43"/>
  <c r="Q16" i="43"/>
  <c r="Q17" i="43"/>
  <c r="Q20" i="43"/>
  <c r="Q21" i="43"/>
  <c r="Q24" i="43"/>
  <c r="Q25" i="43"/>
  <c r="Q28" i="43"/>
  <c r="Q29" i="43"/>
  <c r="Q32" i="43"/>
  <c r="O7" i="43"/>
  <c r="O11" i="43"/>
  <c r="O15" i="43"/>
  <c r="O19" i="43"/>
  <c r="O23" i="43"/>
  <c r="O27" i="43"/>
  <c r="O31" i="43"/>
  <c r="N4" i="43"/>
  <c r="N8" i="43"/>
  <c r="N12" i="43"/>
  <c r="N16" i="43"/>
  <c r="N20" i="43"/>
  <c r="N24" i="43"/>
  <c r="N28" i="43"/>
  <c r="N32" i="43"/>
  <c r="M4" i="43"/>
  <c r="M8" i="43"/>
  <c r="M12" i="43"/>
  <c r="M16" i="43"/>
  <c r="M20" i="43"/>
  <c r="M24" i="43"/>
  <c r="M28" i="43"/>
  <c r="M32" i="43"/>
  <c r="L5" i="43"/>
  <c r="L9" i="43"/>
  <c r="L13" i="43"/>
  <c r="L17" i="43"/>
  <c r="L21" i="43"/>
  <c r="L25" i="43"/>
  <c r="L29" i="43"/>
  <c r="K6" i="43"/>
  <c r="K7" i="43"/>
  <c r="K10" i="43"/>
  <c r="K11" i="43"/>
  <c r="K14" i="43"/>
  <c r="K15" i="43"/>
  <c r="K18" i="43"/>
  <c r="K19" i="43"/>
  <c r="K22" i="43"/>
  <c r="K23" i="43"/>
  <c r="K26" i="43"/>
  <c r="K27" i="43"/>
  <c r="K30" i="43"/>
  <c r="K31" i="43"/>
  <c r="K32" i="43"/>
  <c r="J4" i="43"/>
  <c r="J5" i="43"/>
  <c r="J6" i="43"/>
  <c r="J7" i="43"/>
  <c r="J8" i="43"/>
  <c r="J9" i="43"/>
  <c r="J10" i="43"/>
  <c r="J11" i="43"/>
  <c r="J12" i="43"/>
  <c r="J13" i="43"/>
  <c r="J14" i="43"/>
  <c r="J15" i="43"/>
  <c r="J16" i="43"/>
  <c r="J17" i="43"/>
  <c r="J18" i="43"/>
  <c r="J19" i="43"/>
  <c r="J20" i="43"/>
  <c r="J21" i="43"/>
  <c r="J22" i="43"/>
  <c r="J23" i="43"/>
  <c r="J24" i="43"/>
  <c r="J25" i="43"/>
  <c r="J26" i="43"/>
  <c r="J27" i="43"/>
  <c r="J28" i="43"/>
  <c r="J29" i="43"/>
  <c r="J30" i="43"/>
  <c r="J31" i="43"/>
  <c r="J32" i="43"/>
  <c r="I5" i="43"/>
  <c r="I9" i="43"/>
  <c r="I13" i="43"/>
  <c r="I17" i="43"/>
  <c r="I21" i="43"/>
  <c r="I25" i="43"/>
  <c r="I29" i="43"/>
  <c r="H4" i="43"/>
  <c r="H8" i="43"/>
  <c r="H12" i="43"/>
  <c r="H16" i="43"/>
  <c r="H20" i="43"/>
  <c r="H24" i="43"/>
  <c r="H28" i="43"/>
  <c r="H32" i="43"/>
  <c r="G7" i="43"/>
  <c r="G11" i="43"/>
  <c r="G15" i="43"/>
  <c r="G19" i="43"/>
  <c r="G21" i="43"/>
  <c r="G23" i="43"/>
  <c r="G25" i="43"/>
  <c r="G27" i="43"/>
  <c r="G29" i="43"/>
  <c r="G31" i="43"/>
  <c r="F5" i="43" l="1"/>
  <c r="AI32" i="43"/>
  <c r="AI20" i="43"/>
  <c r="AI16" i="43"/>
  <c r="AI8" i="43"/>
  <c r="AI4" i="43"/>
  <c r="AI28" i="43"/>
  <c r="AI24" i="43"/>
  <c r="AI12" i="43"/>
  <c r="AI31" i="43"/>
  <c r="AI27" i="43"/>
  <c r="AI23" i="43"/>
  <c r="AI19" i="43"/>
  <c r="AI15" i="43"/>
  <c r="AI11" i="43"/>
  <c r="AI7" i="43"/>
  <c r="AI30" i="43"/>
  <c r="AI26" i="43"/>
  <c r="AI22" i="43"/>
  <c r="AI18" i="43"/>
  <c r="AI14" i="43"/>
  <c r="AI10" i="43"/>
  <c r="AI6" i="43"/>
  <c r="AH11" i="43"/>
  <c r="AH30" i="43"/>
  <c r="AH26" i="43"/>
  <c r="AH22" i="43"/>
  <c r="AH18" i="43"/>
  <c r="AH14" i="43"/>
  <c r="AH10" i="43"/>
  <c r="AH6" i="43"/>
  <c r="AH31" i="43"/>
  <c r="AH27" i="43"/>
  <c r="AH23" i="43"/>
  <c r="AH19" i="43"/>
  <c r="AH15" i="43"/>
  <c r="AH7" i="43"/>
  <c r="AH29" i="43"/>
  <c r="AH25" i="43"/>
  <c r="AH21" i="43"/>
  <c r="AH17" i="43"/>
  <c r="AH13" i="43"/>
  <c r="AH9" i="43"/>
  <c r="AH5" i="43"/>
  <c r="AG29" i="43"/>
  <c r="AG21" i="43"/>
  <c r="AG13" i="43"/>
  <c r="AG5" i="43"/>
  <c r="AG25" i="43"/>
  <c r="AG17" i="43"/>
  <c r="AG9" i="43"/>
  <c r="AG32" i="43"/>
  <c r="AG28" i="43"/>
  <c r="AG24" i="43"/>
  <c r="AG20" i="43"/>
  <c r="AG16" i="43"/>
  <c r="AG12" i="43"/>
  <c r="AG8" i="43"/>
  <c r="AG4" i="43"/>
  <c r="AG31" i="43"/>
  <c r="AG27" i="43"/>
  <c r="AG23" i="43"/>
  <c r="AG19" i="43"/>
  <c r="AG15" i="43"/>
  <c r="AG11" i="43"/>
  <c r="AG7" i="43"/>
  <c r="AF30" i="43"/>
  <c r="AF26" i="43"/>
  <c r="AF22" i="43"/>
  <c r="AF18" i="43"/>
  <c r="AF14" i="43"/>
  <c r="AF10" i="43"/>
  <c r="AF6" i="43"/>
  <c r="AF29" i="43"/>
  <c r="AF25" i="43"/>
  <c r="AF21" i="43"/>
  <c r="AF17" i="43"/>
  <c r="AF13" i="43"/>
  <c r="AF9" i="43"/>
  <c r="AF5" i="43"/>
  <c r="AF32" i="43"/>
  <c r="AF28" i="43"/>
  <c r="AF24" i="43"/>
  <c r="AF20" i="43"/>
  <c r="AF16" i="43"/>
  <c r="AF12" i="43"/>
  <c r="AF8" i="43"/>
  <c r="AF4" i="43"/>
  <c r="AE32" i="43"/>
  <c r="AE20" i="43"/>
  <c r="AE4" i="43"/>
  <c r="AE24" i="43"/>
  <c r="AE8" i="43"/>
  <c r="AE31" i="43"/>
  <c r="AE27" i="43"/>
  <c r="AE23" i="43"/>
  <c r="AE19" i="43"/>
  <c r="AE15" i="43"/>
  <c r="AE11" i="43"/>
  <c r="AE7" i="43"/>
  <c r="AE28" i="43"/>
  <c r="AE16" i="43"/>
  <c r="AE12" i="43"/>
  <c r="AE30" i="43"/>
  <c r="AE26" i="43"/>
  <c r="AE22" i="43"/>
  <c r="AE18" i="43"/>
  <c r="AE14" i="43"/>
  <c r="AE10" i="43"/>
  <c r="AD32" i="43"/>
  <c r="AD28" i="43"/>
  <c r="AD24" i="43"/>
  <c r="AD20" i="43"/>
  <c r="AD16" i="43"/>
  <c r="AD12" i="43"/>
  <c r="AD8" i="43"/>
  <c r="AD4" i="43"/>
  <c r="AD30" i="43"/>
  <c r="AD26" i="43"/>
  <c r="AD22" i="43"/>
  <c r="AD18" i="43"/>
  <c r="AD14" i="43"/>
  <c r="AD10" i="43"/>
  <c r="AD6" i="43"/>
  <c r="AC15" i="43"/>
  <c r="AC27" i="43"/>
  <c r="AC23" i="43"/>
  <c r="AC11" i="43"/>
  <c r="AC30" i="43"/>
  <c r="AC26" i="43"/>
  <c r="AC22" i="43"/>
  <c r="AC18" i="43"/>
  <c r="AC14" i="43"/>
  <c r="AC10" i="43"/>
  <c r="AC6" i="43"/>
  <c r="AC31" i="43"/>
  <c r="AC19" i="43"/>
  <c r="AC29" i="43"/>
  <c r="AC25" i="43"/>
  <c r="AC21" i="43"/>
  <c r="AC17" i="43"/>
  <c r="AC13" i="43"/>
  <c r="AC9" i="43"/>
  <c r="AC5" i="43"/>
  <c r="AB32" i="43"/>
  <c r="AB28" i="43"/>
  <c r="AB24" i="43"/>
  <c r="AB20" i="43"/>
  <c r="AB16" i="43"/>
  <c r="AB12" i="43"/>
  <c r="AB8" i="43"/>
  <c r="AB4" i="43"/>
  <c r="AB30" i="43"/>
  <c r="AB26" i="43"/>
  <c r="AB22" i="43"/>
  <c r="AB18" i="43"/>
  <c r="AB14" i="43"/>
  <c r="AB10" i="43"/>
  <c r="AB6" i="43"/>
  <c r="AA30" i="43"/>
  <c r="AA26" i="43"/>
  <c r="AA22" i="43"/>
  <c r="AA18" i="43"/>
  <c r="AA14" i="43"/>
  <c r="AA10" i="43"/>
  <c r="AA6" i="43"/>
  <c r="AA25" i="43"/>
  <c r="AA13" i="43"/>
  <c r="AA5" i="43"/>
  <c r="AA29" i="43"/>
  <c r="AA21" i="43"/>
  <c r="AA17" i="43"/>
  <c r="AA9" i="43"/>
  <c r="AA32" i="43"/>
  <c r="AA28" i="43"/>
  <c r="AA24" i="43"/>
  <c r="AA20" i="43"/>
  <c r="AA16" i="43"/>
  <c r="AA12" i="43"/>
  <c r="AA8" i="43"/>
  <c r="AA4" i="43"/>
  <c r="Z21" i="43"/>
  <c r="Z13" i="43"/>
  <c r="Z5" i="43"/>
  <c r="Z29" i="43"/>
  <c r="Z25" i="43"/>
  <c r="Z17" i="43"/>
  <c r="Z9" i="43"/>
  <c r="Z32" i="43"/>
  <c r="Z28" i="43"/>
  <c r="Z24" i="43"/>
  <c r="Z20" i="43"/>
  <c r="Z16" i="43"/>
  <c r="Z12" i="43"/>
  <c r="Z8" i="43"/>
  <c r="Z4" i="43"/>
  <c r="Z31" i="43"/>
  <c r="Z27" i="43"/>
  <c r="Z23" i="43"/>
  <c r="Z19" i="43"/>
  <c r="Z15" i="43"/>
  <c r="Z11" i="43"/>
  <c r="Z7" i="43"/>
  <c r="Y30" i="43"/>
  <c r="Y26" i="43"/>
  <c r="Y22" i="43"/>
  <c r="Y18" i="43"/>
  <c r="Y14" i="43"/>
  <c r="Y10" i="43"/>
  <c r="Y6" i="43"/>
  <c r="Y25" i="43"/>
  <c r="Y17" i="43"/>
  <c r="Y5" i="43"/>
  <c r="Y29" i="43"/>
  <c r="Y21" i="43"/>
  <c r="Y13" i="43"/>
  <c r="Y9" i="43"/>
  <c r="Y32" i="43"/>
  <c r="Y28" i="43"/>
  <c r="Y24" i="43"/>
  <c r="Y20" i="43"/>
  <c r="Y16" i="43"/>
  <c r="Y12" i="43"/>
  <c r="Y8" i="43"/>
  <c r="X32" i="43"/>
  <c r="X28" i="43"/>
  <c r="X24" i="43"/>
  <c r="X20" i="43"/>
  <c r="X16" i="43"/>
  <c r="X12" i="43"/>
  <c r="X8" i="43"/>
  <c r="X4" i="43"/>
  <c r="X30" i="43"/>
  <c r="X26" i="43"/>
  <c r="X22" i="43"/>
  <c r="X18" i="43"/>
  <c r="X14" i="43"/>
  <c r="X10" i="43"/>
  <c r="X6" i="43"/>
  <c r="W27" i="43"/>
  <c r="W19" i="43"/>
  <c r="W11" i="43"/>
  <c r="W31" i="43"/>
  <c r="W23" i="43"/>
  <c r="W15" i="43"/>
  <c r="W7" i="43"/>
  <c r="W30" i="43"/>
  <c r="W26" i="43"/>
  <c r="W22" i="43"/>
  <c r="W18" i="43"/>
  <c r="W14" i="43"/>
  <c r="W10" i="43"/>
  <c r="W6" i="43"/>
  <c r="W29" i="43"/>
  <c r="W25" i="43"/>
  <c r="W21" i="43"/>
  <c r="W17" i="43"/>
  <c r="W13" i="43"/>
  <c r="W9" i="43"/>
  <c r="W5" i="43"/>
  <c r="V32" i="43"/>
  <c r="V28" i="43"/>
  <c r="V24" i="43"/>
  <c r="V20" i="43"/>
  <c r="V16" i="43"/>
  <c r="V12" i="43"/>
  <c r="V8" i="43"/>
  <c r="V4" i="43"/>
  <c r="V29" i="43"/>
  <c r="V25" i="43"/>
  <c r="V21" i="43"/>
  <c r="V17" i="43"/>
  <c r="V13" i="43"/>
  <c r="V9" i="43"/>
  <c r="V5" i="43"/>
  <c r="V31" i="43"/>
  <c r="V27" i="43"/>
  <c r="V23" i="43"/>
  <c r="V19" i="43"/>
  <c r="V15" i="43"/>
  <c r="V11" i="43"/>
  <c r="V7" i="43"/>
  <c r="U29" i="43"/>
  <c r="U25" i="43"/>
  <c r="U21" i="43"/>
  <c r="U17" i="43"/>
  <c r="U13" i="43"/>
  <c r="U9" i="43"/>
  <c r="U5" i="43"/>
  <c r="U32" i="43"/>
  <c r="U28" i="43"/>
  <c r="U24" i="43"/>
  <c r="U20" i="43"/>
  <c r="U16" i="43"/>
  <c r="U12" i="43"/>
  <c r="U8" i="43"/>
  <c r="U4" i="43"/>
  <c r="U31" i="43"/>
  <c r="U27" i="43"/>
  <c r="U23" i="43"/>
  <c r="U19" i="43"/>
  <c r="U15" i="43"/>
  <c r="U11" i="43"/>
  <c r="T30" i="43"/>
  <c r="T26" i="43"/>
  <c r="T22" i="43"/>
  <c r="T18" i="43"/>
  <c r="T14" i="43"/>
  <c r="T10" i="43"/>
  <c r="T6" i="43"/>
  <c r="T25" i="43"/>
  <c r="T17" i="43"/>
  <c r="T9" i="43"/>
  <c r="T29" i="43"/>
  <c r="T21" i="43"/>
  <c r="T13" i="43"/>
  <c r="T5" i="43"/>
  <c r="T32" i="43"/>
  <c r="T28" i="43"/>
  <c r="T24" i="43"/>
  <c r="T20" i="43"/>
  <c r="T16" i="43"/>
  <c r="T12" i="43"/>
  <c r="T8" i="43"/>
  <c r="T4" i="43"/>
  <c r="S32" i="43"/>
  <c r="S28" i="43"/>
  <c r="S24" i="43"/>
  <c r="S20" i="43"/>
  <c r="S16" i="43"/>
  <c r="S12" i="43"/>
  <c r="S8" i="43"/>
  <c r="S4" i="43"/>
  <c r="S27" i="43"/>
  <c r="S23" i="43"/>
  <c r="S19" i="43"/>
  <c r="S15" i="43"/>
  <c r="S7" i="43"/>
  <c r="S31" i="43"/>
  <c r="S11" i="43"/>
  <c r="S30" i="43"/>
  <c r="S26" i="43"/>
  <c r="S22" i="43"/>
  <c r="S18" i="43"/>
  <c r="S14" i="43"/>
  <c r="S10" i="43"/>
  <c r="S6" i="43"/>
  <c r="R26" i="43"/>
  <c r="R10" i="43"/>
  <c r="R22" i="43"/>
  <c r="R14" i="43"/>
  <c r="R30" i="43"/>
  <c r="R18" i="43"/>
  <c r="R6" i="43"/>
  <c r="R29" i="43"/>
  <c r="R25" i="43"/>
  <c r="R21" i="43"/>
  <c r="R17" i="43"/>
  <c r="R13" i="43"/>
  <c r="R9" i="43"/>
  <c r="R5" i="43"/>
  <c r="R32" i="43"/>
  <c r="R28" i="43"/>
  <c r="R24" i="43"/>
  <c r="R20" i="43"/>
  <c r="R16" i="43"/>
  <c r="R12" i="43"/>
  <c r="R8" i="43"/>
  <c r="R4" i="43"/>
  <c r="Q31" i="43"/>
  <c r="Q19" i="43"/>
  <c r="Q11" i="43"/>
  <c r="Q27" i="43"/>
  <c r="Q23" i="43"/>
  <c r="Q15" i="43"/>
  <c r="Q7" i="43"/>
  <c r="Q30" i="43"/>
  <c r="Q26" i="43"/>
  <c r="Q22" i="43"/>
  <c r="Q18" i="43"/>
  <c r="Q14" i="43"/>
  <c r="Q10" i="43"/>
  <c r="Q6" i="43"/>
  <c r="P27" i="43"/>
  <c r="P19" i="43"/>
  <c r="P15" i="43"/>
  <c r="P11" i="43"/>
  <c r="P30" i="43"/>
  <c r="P26" i="43"/>
  <c r="P22" i="43"/>
  <c r="P18" i="43"/>
  <c r="P14" i="43"/>
  <c r="P10" i="43"/>
  <c r="P6" i="43"/>
  <c r="P31" i="43"/>
  <c r="P23" i="43"/>
  <c r="P7" i="43"/>
  <c r="P29" i="43"/>
  <c r="P25" i="43"/>
  <c r="P21" i="43"/>
  <c r="P17" i="43"/>
  <c r="P13" i="43"/>
  <c r="P9" i="43"/>
  <c r="P5" i="43"/>
  <c r="P32" i="43"/>
  <c r="P28" i="43"/>
  <c r="P24" i="43"/>
  <c r="P20" i="43"/>
  <c r="P16" i="43"/>
  <c r="P12" i="43"/>
  <c r="P8" i="43"/>
  <c r="O30" i="43"/>
  <c r="O26" i="43"/>
  <c r="O22" i="43"/>
  <c r="O18" i="43"/>
  <c r="O14" i="43"/>
  <c r="O10" i="43"/>
  <c r="O6" i="43"/>
  <c r="O29" i="43"/>
  <c r="O21" i="43"/>
  <c r="O13" i="43"/>
  <c r="O9" i="43"/>
  <c r="O5" i="43"/>
  <c r="O25" i="43"/>
  <c r="O17" i="43"/>
  <c r="O32" i="43"/>
  <c r="O28" i="43"/>
  <c r="O24" i="43"/>
  <c r="O20" i="43"/>
  <c r="O16" i="43"/>
  <c r="O12" i="43"/>
  <c r="O8" i="43"/>
  <c r="N27" i="43"/>
  <c r="N7" i="43"/>
  <c r="N31" i="43"/>
  <c r="N19" i="43"/>
  <c r="N15" i="43"/>
  <c r="N30" i="43"/>
  <c r="N26" i="43"/>
  <c r="N22" i="43"/>
  <c r="N18" i="43"/>
  <c r="N14" i="43"/>
  <c r="N10" i="43"/>
  <c r="N6" i="43"/>
  <c r="N23" i="43"/>
  <c r="N11" i="43"/>
  <c r="N29" i="43"/>
  <c r="N25" i="43"/>
  <c r="N17" i="43"/>
  <c r="N13" i="43"/>
  <c r="N9" i="43"/>
  <c r="N5" i="43"/>
  <c r="M31" i="43"/>
  <c r="M27" i="43"/>
  <c r="M23" i="43"/>
  <c r="M19" i="43"/>
  <c r="M15" i="43"/>
  <c r="M11" i="43"/>
  <c r="M7" i="43"/>
  <c r="M26" i="43"/>
  <c r="M18" i="43"/>
  <c r="M10" i="43"/>
  <c r="M30" i="43"/>
  <c r="M22" i="43"/>
  <c r="M14" i="43"/>
  <c r="M6" i="43"/>
  <c r="M29" i="43"/>
  <c r="M25" i="43"/>
  <c r="M21" i="43"/>
  <c r="M17" i="43"/>
  <c r="M13" i="43"/>
  <c r="M9" i="43"/>
  <c r="L32" i="43"/>
  <c r="L28" i="43"/>
  <c r="L24" i="43"/>
  <c r="L20" i="43"/>
  <c r="L16" i="43"/>
  <c r="L12" i="43"/>
  <c r="L8" i="43"/>
  <c r="L4" i="43"/>
  <c r="L27" i="43"/>
  <c r="L19" i="43"/>
  <c r="L11" i="43"/>
  <c r="L31" i="43"/>
  <c r="L23" i="43"/>
  <c r="L15" i="43"/>
  <c r="L7" i="43"/>
  <c r="L30" i="43"/>
  <c r="L26" i="43"/>
  <c r="L22" i="43"/>
  <c r="L18" i="43"/>
  <c r="L14" i="43"/>
  <c r="L10" i="43"/>
  <c r="L6" i="43"/>
  <c r="K29" i="43"/>
  <c r="K25" i="43"/>
  <c r="K21" i="43"/>
  <c r="K17" i="43"/>
  <c r="K13" i="43"/>
  <c r="K9" i="43"/>
  <c r="K5" i="43"/>
  <c r="K28" i="43"/>
  <c r="K24" i="43"/>
  <c r="K20" i="43"/>
  <c r="K16" i="43"/>
  <c r="K12" i="43"/>
  <c r="K8" i="43"/>
  <c r="K4" i="43"/>
  <c r="I12" i="43"/>
  <c r="I32" i="43"/>
  <c r="I24" i="43"/>
  <c r="I16" i="43"/>
  <c r="I4" i="43"/>
  <c r="I27" i="43"/>
  <c r="I19" i="43"/>
  <c r="I7" i="43"/>
  <c r="I28" i="43"/>
  <c r="I20" i="43"/>
  <c r="I8" i="43"/>
  <c r="I31" i="43"/>
  <c r="I23" i="43"/>
  <c r="I15" i="43"/>
  <c r="I11" i="43"/>
  <c r="I30" i="43"/>
  <c r="I26" i="43"/>
  <c r="I22" i="43"/>
  <c r="I18" i="43"/>
  <c r="I14" i="43"/>
  <c r="I10" i="43"/>
  <c r="I6" i="43"/>
  <c r="H31" i="43"/>
  <c r="H27" i="43"/>
  <c r="H23" i="43"/>
  <c r="H19" i="43"/>
  <c r="H15" i="43"/>
  <c r="H11" i="43"/>
  <c r="H7" i="43"/>
  <c r="H30" i="43"/>
  <c r="H26" i="43"/>
  <c r="H22" i="43"/>
  <c r="H18" i="43"/>
  <c r="H14" i="43"/>
  <c r="H10" i="43"/>
  <c r="H6" i="43"/>
  <c r="H29" i="43"/>
  <c r="H25" i="43"/>
  <c r="H21" i="43"/>
  <c r="H17" i="43"/>
  <c r="H13" i="43"/>
  <c r="H9" i="43"/>
  <c r="G30" i="43"/>
  <c r="G26" i="43"/>
  <c r="G22" i="43"/>
  <c r="G18" i="43"/>
  <c r="G14" i="43"/>
  <c r="G10" i="43"/>
  <c r="G6" i="43"/>
  <c r="G17" i="43"/>
  <c r="G9" i="43"/>
  <c r="G13" i="43"/>
  <c r="G5" i="43"/>
  <c r="G32" i="43"/>
  <c r="G28" i="43"/>
  <c r="G24" i="43"/>
  <c r="G20" i="43"/>
  <c r="G16" i="43"/>
  <c r="G12" i="43"/>
  <c r="G8" i="43"/>
  <c r="F9" i="43"/>
  <c r="F21" i="43"/>
  <c r="F17" i="43"/>
  <c r="F29" i="43"/>
  <c r="F13" i="43"/>
  <c r="F6" i="43"/>
  <c r="F25" i="43"/>
  <c r="F32" i="43"/>
  <c r="F28" i="43"/>
  <c r="F24" i="43"/>
  <c r="F20" i="43"/>
  <c r="F16" i="43"/>
  <c r="F12" i="43"/>
  <c r="F8" i="43"/>
  <c r="F4" i="43"/>
  <c r="F27" i="43"/>
  <c r="F19" i="43"/>
  <c r="F11" i="43"/>
  <c r="F31" i="43"/>
  <c r="F23" i="43"/>
  <c r="F15" i="43"/>
  <c r="F7" i="43"/>
  <c r="F30" i="43"/>
  <c r="F26" i="43"/>
  <c r="F22" i="43"/>
  <c r="F18" i="43"/>
  <c r="F14" i="43"/>
  <c r="F10" i="43"/>
  <c r="E29" i="43" l="1"/>
  <c r="E25" i="43"/>
  <c r="E18" i="43"/>
  <c r="E15" i="43"/>
  <c r="E9" i="43"/>
  <c r="E8" i="43"/>
  <c r="E26" i="43"/>
  <c r="E28" i="43"/>
  <c r="E20" i="43"/>
  <c r="E21" i="43"/>
  <c r="E11" i="43"/>
  <c r="E16" i="43"/>
  <c r="E10" i="43"/>
  <c r="E5" i="43"/>
  <c r="E27" i="43"/>
  <c r="E13" i="43"/>
  <c r="E19" i="43"/>
  <c r="E31" i="43"/>
  <c r="E22" i="43"/>
  <c r="E6" i="43"/>
  <c r="E24" i="43"/>
  <c r="E17" i="43"/>
  <c r="E23" i="43"/>
  <c r="E7" i="43"/>
  <c r="E14" i="43"/>
  <c r="E30" i="43"/>
  <c r="E12" i="43"/>
  <c r="E32" i="43"/>
  <c r="G13" i="2" l="1"/>
  <c r="G12" i="2"/>
  <c r="G11" i="2"/>
  <c r="G10" i="2"/>
  <c r="G9" i="2"/>
  <c r="G8" i="2"/>
  <c r="G7" i="2"/>
  <c r="G6" i="2"/>
  <c r="G5" i="2"/>
  <c r="G4" i="2"/>
  <c r="AH4" i="43" l="1"/>
  <c r="E4" i="43" s="1"/>
  <c r="AI3" i="43"/>
  <c r="AH3" i="43"/>
  <c r="AG3" i="43"/>
  <c r="AF3" i="43"/>
  <c r="AE3" i="43"/>
  <c r="AD3" i="43"/>
  <c r="AC3" i="43"/>
  <c r="AB3" i="43"/>
  <c r="AA3" i="43"/>
  <c r="Z3" i="43"/>
  <c r="Y3" i="43"/>
  <c r="X3" i="43"/>
  <c r="W3" i="43"/>
  <c r="V3" i="43"/>
  <c r="U3" i="43"/>
  <c r="T3" i="43"/>
  <c r="S3" i="43"/>
  <c r="R3" i="43"/>
  <c r="Q3" i="43"/>
  <c r="P3" i="43"/>
  <c r="O3" i="43"/>
  <c r="N3" i="43"/>
  <c r="M3" i="43"/>
  <c r="L3" i="43"/>
  <c r="K3" i="43"/>
  <c r="J3" i="43"/>
  <c r="I3" i="43"/>
  <c r="H3" i="43"/>
  <c r="G3" i="43"/>
  <c r="F3" i="43"/>
  <c r="E3" i="43" l="1"/>
  <c r="Z4" i="13"/>
  <c r="Z5" i="13"/>
  <c r="Z6" i="13"/>
  <c r="Z7" i="13"/>
  <c r="Z8" i="13"/>
  <c r="Z9" i="13"/>
  <c r="Z10" i="13"/>
  <c r="Z11" i="13"/>
  <c r="Z12" i="13"/>
  <c r="Z13" i="13"/>
  <c r="Z14" i="13"/>
  <c r="Z15" i="13"/>
  <c r="Z16" i="13"/>
  <c r="Z17" i="13"/>
  <c r="Z18" i="13"/>
  <c r="Z19" i="13"/>
  <c r="Z20" i="13"/>
  <c r="Z21" i="13"/>
  <c r="Z22" i="13"/>
  <c r="Z23" i="13"/>
  <c r="Z24" i="13"/>
  <c r="Z25" i="13"/>
  <c r="Z26" i="13"/>
  <c r="Z27" i="13"/>
  <c r="Z28" i="13"/>
  <c r="Z29" i="13"/>
  <c r="Z30" i="13"/>
  <c r="Z31" i="13"/>
  <c r="Z32" i="13"/>
  <c r="Y4" i="13"/>
  <c r="Y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27" i="13"/>
  <c r="Y28" i="13"/>
  <c r="Y29" i="13"/>
  <c r="Y30" i="13"/>
  <c r="Y31" i="13"/>
  <c r="Y32" i="13"/>
  <c r="X4" i="13"/>
  <c r="X5" i="13"/>
  <c r="X6" i="13"/>
  <c r="X7" i="13"/>
  <c r="X8" i="13"/>
  <c r="X9" i="13"/>
  <c r="X10" i="13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W4" i="13"/>
  <c r="W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V4" i="13"/>
  <c r="V5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U4" i="13"/>
  <c r="U5" i="13"/>
  <c r="U6" i="13"/>
  <c r="U7" i="13"/>
  <c r="U8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U31" i="13"/>
  <c r="U32" i="13"/>
  <c r="T4" i="13"/>
  <c r="T5" i="13"/>
  <c r="T6" i="13"/>
  <c r="T7" i="13"/>
  <c r="T8" i="13"/>
  <c r="T9" i="13"/>
  <c r="T10" i="13"/>
  <c r="T11" i="13"/>
  <c r="T12" i="13"/>
  <c r="T13" i="13"/>
  <c r="T14" i="13"/>
  <c r="T15" i="13"/>
  <c r="T16" i="13"/>
  <c r="T17" i="13"/>
  <c r="T18" i="13"/>
  <c r="T19" i="13"/>
  <c r="T20" i="13"/>
  <c r="T21" i="13"/>
  <c r="T22" i="13"/>
  <c r="T23" i="13"/>
  <c r="T24" i="13"/>
  <c r="T25" i="13"/>
  <c r="T26" i="13"/>
  <c r="T27" i="13"/>
  <c r="T28" i="13"/>
  <c r="T29" i="13"/>
  <c r="T30" i="13"/>
  <c r="T31" i="13"/>
  <c r="T32" i="13"/>
  <c r="S4" i="13"/>
  <c r="S5" i="13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7" i="13"/>
  <c r="R28" i="13"/>
  <c r="R29" i="13"/>
  <c r="R30" i="13"/>
  <c r="R31" i="13"/>
  <c r="R32" i="13"/>
  <c r="Q4" i="13"/>
  <c r="Q5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P32" i="13"/>
  <c r="P4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Z3" i="13"/>
  <c r="Y3" i="13"/>
  <c r="X3" i="13"/>
  <c r="W3" i="13"/>
  <c r="V3" i="13"/>
  <c r="U3" i="13"/>
  <c r="T3" i="13"/>
  <c r="S3" i="13"/>
  <c r="R3" i="13"/>
  <c r="Q3" i="13"/>
  <c r="P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" i="13"/>
  <c r="I17" i="13"/>
  <c r="N3" i="13"/>
  <c r="N4" i="13" l="1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D8" i="13" l="1"/>
  <c r="D4" i="13"/>
  <c r="D31" i="13"/>
  <c r="D27" i="13"/>
  <c r="D23" i="13"/>
  <c r="D19" i="13"/>
  <c r="D15" i="13"/>
  <c r="D7" i="13"/>
  <c r="D11" i="13"/>
  <c r="D29" i="13"/>
  <c r="D25" i="13"/>
  <c r="D21" i="13"/>
  <c r="D17" i="13"/>
  <c r="D13" i="13"/>
  <c r="D9" i="13"/>
  <c r="D5" i="13"/>
  <c r="D6" i="13"/>
  <c r="D10" i="13"/>
  <c r="D32" i="13"/>
  <c r="D28" i="13"/>
  <c r="D24" i="13"/>
  <c r="D20" i="13"/>
  <c r="D16" i="13"/>
  <c r="D12" i="13"/>
  <c r="D14" i="13"/>
  <c r="D30" i="13"/>
  <c r="D26" i="13"/>
  <c r="D22" i="13"/>
  <c r="D18" i="13"/>
  <c r="D3" i="13"/>
</calcChain>
</file>

<file path=xl/sharedStrings.xml><?xml version="1.0" encoding="utf-8"?>
<sst xmlns="http://schemas.openxmlformats.org/spreadsheetml/2006/main" count="1567" uniqueCount="213">
  <si>
    <t>Position</t>
  </si>
  <si>
    <t>Fahrer</t>
  </si>
  <si>
    <t>Punkte</t>
  </si>
  <si>
    <t>Team</t>
  </si>
  <si>
    <t>Auto</t>
  </si>
  <si>
    <t>Beste</t>
  </si>
  <si>
    <t>Gesamt</t>
  </si>
  <si>
    <t>Abstand</t>
  </si>
  <si>
    <t>Fahrzeuge</t>
  </si>
  <si>
    <t>Setup</t>
  </si>
  <si>
    <t>Regeln</t>
  </si>
  <si>
    <t>Punktesystem</t>
  </si>
  <si>
    <t>Rahmenbedingungen</t>
  </si>
  <si>
    <t>Uhrzeit/Tag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</si>
  <si>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</si>
  <si>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</si>
  <si>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</si>
  <si>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</si>
  <si>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</si>
  <si>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</si>
  <si>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</si>
  <si>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</si>
  <si>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</si>
  <si>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</si>
  <si>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Ende</t>
  </si>
  <si>
    <t>Veranstaltung</t>
  </si>
  <si>
    <t>&lt;Titel&gt;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</si>
  <si>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</si>
  <si>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</si>
  <si>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</si>
  <si>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</si>
  <si>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</si>
  <si>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</si>
  <si>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</si>
  <si>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</si>
  <si>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</si>
  <si>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</si>
  <si>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</si>
  <si>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</si>
  <si>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</si>
  <si>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</si>
  <si>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</si>
  <si>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</si>
  <si>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</si>
  <si>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</si>
  <si>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</si>
  <si>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</si>
  <si>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Summe</t>
  </si>
  <si>
    <t>Grid</t>
  </si>
  <si>
    <t>&lt;Button&gt;</t>
  </si>
  <si>
    <t>&lt;Strecke&gt;</t>
  </si>
  <si>
    <t>&lt;Schnellste Runde&gt;</t>
  </si>
  <si>
    <t>Nr</t>
  </si>
  <si>
    <t>Teamwertung</t>
  </si>
  <si>
    <t>Fahrerwertung</t>
  </si>
  <si>
    <t>GSR GecKo</t>
  </si>
  <si>
    <t>GSR tobination</t>
  </si>
  <si>
    <t>CHRISSI VfB</t>
  </si>
  <si>
    <t>GSR Norbi</t>
  </si>
  <si>
    <t>GSR Agroh3knie</t>
  </si>
  <si>
    <t>o GSR STOCK o</t>
  </si>
  <si>
    <t>BlubbelDieMango</t>
  </si>
  <si>
    <t>GSR RKC75</t>
  </si>
  <si>
    <t>Tjark421</t>
  </si>
  <si>
    <t>AiReally</t>
  </si>
  <si>
    <t>von Dohlen</t>
  </si>
  <si>
    <t>SPisch</t>
  </si>
  <si>
    <t>Toyota GT86</t>
  </si>
  <si>
    <t>02:00,003!</t>
  </si>
  <si>
    <t>02:00,140!</t>
  </si>
  <si>
    <t>01:59,875!</t>
  </si>
  <si>
    <t>DNF</t>
  </si>
  <si>
    <t>Schnellste Runde: CHRISSI VfB</t>
  </si>
  <si>
    <t>1.1</t>
  </si>
  <si>
    <t>Lauf 1.1 von 11</t>
  </si>
  <si>
    <t>Catalunya GP</t>
  </si>
  <si>
    <t>1.2</t>
  </si>
  <si>
    <t>Lauf 1.2 von 11</t>
  </si>
  <si>
    <t>-</t>
  </si>
  <si>
    <t>134 KM</t>
  </si>
  <si>
    <t>133 KM</t>
  </si>
  <si>
    <t>132 KM</t>
  </si>
  <si>
    <t>128 KM</t>
  </si>
  <si>
    <t>Kivi 69</t>
  </si>
  <si>
    <t>Schigg90</t>
  </si>
  <si>
    <t>Jenkiiins393</t>
  </si>
  <si>
    <t>01:49,918!</t>
  </si>
  <si>
    <t>01:50,280!</t>
  </si>
  <si>
    <t>01:50,761!</t>
  </si>
  <si>
    <t>01:52,244!</t>
  </si>
  <si>
    <t>01:50,275!</t>
  </si>
  <si>
    <t>01:52,401!</t>
  </si>
  <si>
    <t>01:52,318!</t>
  </si>
  <si>
    <t>01:53,205!</t>
  </si>
  <si>
    <t>01:52,705!</t>
  </si>
  <si>
    <t>2.1</t>
  </si>
  <si>
    <t>Lauf 2.1 von 11</t>
  </si>
  <si>
    <t>LeMans Bugatti</t>
  </si>
  <si>
    <t>Schnellste Runde: GSR tobination</t>
  </si>
  <si>
    <t>2.2</t>
  </si>
  <si>
    <t>Lauf 2.2 von 11</t>
  </si>
  <si>
    <t>131KM</t>
  </si>
  <si>
    <t>130KM</t>
  </si>
  <si>
    <t>129KM</t>
  </si>
  <si>
    <t>128KM</t>
  </si>
  <si>
    <t>127KM</t>
  </si>
  <si>
    <t>125KM</t>
  </si>
  <si>
    <t>3.1</t>
  </si>
  <si>
    <t>Lauf 3.1 von 11</t>
  </si>
  <si>
    <t>VIR Nord</t>
  </si>
  <si>
    <t>xRaptus DC</t>
  </si>
  <si>
    <t>01:32,222!</t>
  </si>
  <si>
    <t>01:35,190!</t>
  </si>
  <si>
    <t>3.2</t>
  </si>
  <si>
    <t>Lauf 3.2 von 11</t>
  </si>
  <si>
    <t>137KM</t>
  </si>
  <si>
    <t>136KM</t>
  </si>
  <si>
    <t>135KM</t>
  </si>
  <si>
    <t>134KM</t>
  </si>
  <si>
    <t>132KM</t>
  </si>
  <si>
    <t>4.1</t>
  </si>
  <si>
    <t>Lauf 4.1 von 11</t>
  </si>
  <si>
    <t>Alpen Stadtplatz</t>
  </si>
  <si>
    <t>4.2</t>
  </si>
  <si>
    <t>Lauf 4.2 von 11</t>
  </si>
  <si>
    <t>5.1</t>
  </si>
  <si>
    <t>Lauf 5.1 von 11</t>
  </si>
  <si>
    <t>Brands Hatch GP</t>
  </si>
  <si>
    <t>5.2</t>
  </si>
  <si>
    <t>Lauf 5.2 von 11</t>
  </si>
  <si>
    <t>6.1</t>
  </si>
  <si>
    <t>Lauf 6.1 von 11</t>
  </si>
  <si>
    <t>Indianapolis GP</t>
  </si>
  <si>
    <t>6.2</t>
  </si>
  <si>
    <t>Lauf 6.2 von 11</t>
  </si>
  <si>
    <t>7.1</t>
  </si>
  <si>
    <t>Lauf 7.1 von 11</t>
  </si>
  <si>
    <t>Daytona Innenfeld</t>
  </si>
  <si>
    <t>7.2</t>
  </si>
  <si>
    <t>Lauf 7.2 von 11</t>
  </si>
  <si>
    <t>8.1</t>
  </si>
  <si>
    <t>Lauf 8.1 von 11</t>
  </si>
  <si>
    <t>Sonomo kurz</t>
  </si>
  <si>
    <t>8.2</t>
  </si>
  <si>
    <t>Lauf 8.2 von 11</t>
  </si>
  <si>
    <t>9.1</t>
  </si>
  <si>
    <t>Lauf 9.1 von 11</t>
  </si>
  <si>
    <t>Silverstone International</t>
  </si>
  <si>
    <t>Toyota Cup</t>
  </si>
  <si>
    <t>20:30-22:30 Dienstag</t>
  </si>
  <si>
    <t>Toyota GT 86 (Klasse A650)</t>
  </si>
  <si>
    <t>25-20-16-13-11-10-9-8-7-6-5-4-3-2-1</t>
  </si>
  <si>
    <t>Hanschaltung mit Kupplung ist nicht erlaubt</t>
  </si>
  <si>
    <t>Setup von GSR tobination</t>
  </si>
  <si>
    <t>Name: GSR CUP</t>
  </si>
  <si>
    <t>Warm Up (3 Runden)</t>
  </si>
  <si>
    <t>Qualifying (2 Runden)</t>
  </si>
  <si>
    <t>1. Lauf</t>
  </si>
  <si>
    <t>Startaufstellung: Qualifying-Ergebnis</t>
  </si>
  <si>
    <t>Sprintrennen über 10 Runden</t>
  </si>
  <si>
    <t>Stehender Start</t>
  </si>
  <si>
    <t>2. Lauf</t>
  </si>
  <si>
    <t>Startaufstellung: Ergebnis von Lauf 1 umgedreht</t>
  </si>
  <si>
    <t>Einführungsrunde mit max. 120 km/h</t>
  </si>
  <si>
    <t>Fliegender Start erfolgt versetzt mit ca. 80 km/h ab Start/Ziel-Linie</t>
  </si>
  <si>
    <t>Renndauer 60 Minuten</t>
  </si>
  <si>
    <t>2 Pflichtboxenstopp</t>
  </si>
  <si>
    <t>Einfahrt zum letzten Boxenstopp spätestens 5 Minuten vor Rennende</t>
  </si>
  <si>
    <t>Schnellste Runde: GSR Norbi</t>
  </si>
  <si>
    <t>01:43,451!</t>
  </si>
  <si>
    <t>133KM</t>
  </si>
  <si>
    <t>126KM</t>
  </si>
  <si>
    <t>Schnellste Runde: Kivi 69</t>
  </si>
  <si>
    <t>01:32,890!</t>
  </si>
  <si>
    <t>01:33,098!</t>
  </si>
  <si>
    <t>01:32,842!</t>
  </si>
  <si>
    <t>01:33,143!</t>
  </si>
  <si>
    <t>01:32,603!</t>
  </si>
  <si>
    <t>186KM</t>
  </si>
  <si>
    <t>185KM</t>
  </si>
  <si>
    <t>184KM</t>
  </si>
  <si>
    <t>183KM</t>
  </si>
  <si>
    <t>Schnellste Runde: SPisch</t>
  </si>
  <si>
    <t>xLMSx Verde</t>
  </si>
  <si>
    <t>146KM</t>
  </si>
  <si>
    <t>145KM</t>
  </si>
  <si>
    <t>144KM</t>
  </si>
  <si>
    <t>143KM</t>
  </si>
  <si>
    <t>Schnellste Runde: xRaptus DC</t>
  </si>
  <si>
    <t>01:45,682!</t>
  </si>
  <si>
    <t>157KM</t>
  </si>
  <si>
    <t>154KM</t>
  </si>
  <si>
    <t>155KM</t>
  </si>
  <si>
    <t>156KM</t>
  </si>
  <si>
    <t>138KM</t>
  </si>
  <si>
    <t>Lauf 9.2 von 11</t>
  </si>
  <si>
    <t>9.2</t>
  </si>
  <si>
    <t>Explosivo93</t>
  </si>
  <si>
    <t>169KM</t>
  </si>
  <si>
    <t>168KM</t>
  </si>
  <si>
    <t>166KM</t>
  </si>
  <si>
    <t>01:16,067!</t>
  </si>
  <si>
    <t>10.1</t>
  </si>
  <si>
    <t>Lauf 10.1 von 11</t>
  </si>
  <si>
    <t>Long Beach Gesamt</t>
  </si>
  <si>
    <t>10.2</t>
  </si>
  <si>
    <t>Lauf 10.2 von 11</t>
  </si>
  <si>
    <t>11.1</t>
  </si>
  <si>
    <t>Lauf 11.1 von 11</t>
  </si>
  <si>
    <t>Nürburgring GP</t>
  </si>
  <si>
    <t>Nordschleife</t>
  </si>
  <si>
    <t>11.2</t>
  </si>
  <si>
    <t>Lauf 11.2 von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</si>
</sst>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mm:ss.000"/>
    <numFmt numFmtId="165" formatCode="h:mm:ss;@"/>
    <numFmt numFmtId="169" formatCode="d/m/yy\ h:mm;@"/>
  </numFmts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Fill="1" applyAlignment="1">
      <alignment horizontal="center"/>
    </xf>
    <xf numFmtId="49" fontId="0" fillId="3" borderId="1" xfId="0" applyNumberFormat="1" applyFill="1" applyBorder="1" applyAlignment="1">
      <alignment horizontal="center" vertical="center"/>
    </xf>
    <xf numFmtId="169" fontId="0" fillId="3" borderId="1" xfId="0" applyNumberForma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B2:H11"/>
  <sheetViews>
    <sheetView workbookViewId="0">
      <selection activeCell="B2" sqref="B2"/>
    </sheetView>
  </sheetViews>
  <sheetFormatPr baseColWidth="10" defaultColWidth="42.42578125" defaultRowHeight="15" x14ac:dyDescent="0.25"/>
  <cols>
    <col min="1" max="1" width="8.42578125" customWidth="1"/>
    <col min="5" max="5" width="62.85546875" customWidth="1"/>
  </cols>
  <sheetData>
    <row r="2" spans="2:8" x14ac:dyDescent="0.25">
      <c r="B2" t="s">
        <v>25</v>
      </c>
      <c r="C2" t="s">
        <v>148</v>
      </c>
    </row>
    <row r="3" spans="2:8" x14ac:dyDescent="0.25">
      <c r="B3" t="s">
        <v>13</v>
      </c>
      <c r="C3" t="s">
        <v>149</v>
      </c>
    </row>
    <row r="4" spans="2:8" x14ac:dyDescent="0.25">
      <c r="B4" t="s">
        <v>8</v>
      </c>
      <c r="C4" t="s">
        <v>150</v>
      </c>
    </row>
    <row r="5" spans="2:8" x14ac:dyDescent="0.25">
      <c r="B5" t="s">
        <v>11</v>
      </c>
      <c r="C5" t="s">
        <v>151</v>
      </c>
    </row>
    <row r="6" spans="2:8" x14ac:dyDescent="0.25">
      <c r="B6" t="s">
        <v>10</v>
      </c>
      <c r="C6" t="s">
        <v>152</v>
      </c>
    </row>
    <row r="7" spans="2:8" x14ac:dyDescent="0.25">
      <c r="B7" t="s">
        <v>9</v>
      </c>
      <c r="C7" t="s">
        <v>153</v>
      </c>
      <c r="D7" t="s">
        <v>154</v>
      </c>
    </row>
    <row r="8" spans="2:8" x14ac:dyDescent="0.25">
      <c r="B8" t="s">
        <v>12</v>
      </c>
      <c r="C8" t="s">
        <v>155</v>
      </c>
      <c r="D8" t="s">
        <v>156</v>
      </c>
    </row>
    <row r="9" spans="2:8" x14ac:dyDescent="0.25">
      <c r="B9" t="s">
        <v>157</v>
      </c>
      <c r="C9" t="s">
        <v>158</v>
      </c>
      <c r="D9" t="s">
        <v>159</v>
      </c>
      <c r="E9" t="s">
        <v>160</v>
      </c>
    </row>
    <row r="10" spans="2:8" x14ac:dyDescent="0.25">
      <c r="B10" t="s">
        <v>161</v>
      </c>
      <c r="C10" t="s">
        <v>162</v>
      </c>
      <c r="D10" t="s">
        <v>163</v>
      </c>
      <c r="E10" t="s">
        <v>164</v>
      </c>
      <c r="F10" t="s">
        <v>165</v>
      </c>
      <c r="G10" t="s">
        <v>166</v>
      </c>
      <c r="H10" t="s">
        <v>167</v>
      </c>
    </row>
    <row r="11" spans="2:8" x14ac:dyDescent="0.25">
      <c r="B11" s="2" t="s">
        <v>24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H32"/>
  <sheetViews>
    <sheetView workbookViewId="0">
      <selection activeCell="C2" sqref="C2:AH32"/>
    </sheetView>
  </sheetViews>
  <sheetFormatPr baseColWidth="10" defaultRowHeight="15" x14ac:dyDescent="0.25"/>
  <cols>
    <col min="1" max="1" width="14.140625" bestFit="1" customWidth="1"/>
    <col min="3" max="3" width="16.42578125" bestFit="1" customWidth="1"/>
    <col min="6" max="6" width="16.42578125" bestFit="1" customWidth="1"/>
  </cols>
  <sheetData>
    <row r="1" spans="1:34" x14ac:dyDescent="0.25">
      <c r="A1" s="3" t="s">
        <v>54</v>
      </c>
    </row>
    <row r="2" spans="1:34" x14ac:dyDescent="0.25">
      <c r="B2" s="12" t="s">
        <v>0</v>
      </c>
      <c r="C2" s="12" t="s">
        <v>1</v>
      </c>
      <c r="D2" s="12" t="s">
        <v>2</v>
      </c>
      <c r="E2" s="12" t="s">
        <v>14</v>
      </c>
      <c r="F2" s="12" t="s">
        <v>14</v>
      </c>
      <c r="G2" s="12" t="s">
        <v>15</v>
      </c>
      <c r="H2" s="12" t="s">
        <v>15</v>
      </c>
      <c r="I2" s="12" t="s">
        <v>16</v>
      </c>
      <c r="J2" s="12" t="s">
        <v>16</v>
      </c>
      <c r="K2" s="12" t="s">
        <v>17</v>
      </c>
      <c r="L2" s="12" t="s">
        <v>17</v>
      </c>
      <c r="M2" s="12" t="s">
        <v>18</v>
      </c>
      <c r="N2" s="12" t="s">
        <v>18</v>
      </c>
      <c r="O2" s="12" t="s">
        <v>19</v>
      </c>
      <c r="P2" s="12" t="s">
        <v>19</v>
      </c>
      <c r="Q2" s="12" t="s">
        <v>20</v>
      </c>
      <c r="R2" s="12" t="s">
        <v>20</v>
      </c>
      <c r="S2" s="12" t="s">
        <v>21</v>
      </c>
      <c r="T2" s="12" t="s">
        <v>21</v>
      </c>
      <c r="U2" s="12" t="s">
        <v>22</v>
      </c>
      <c r="V2" s="12" t="s">
        <v>22</v>
      </c>
      <c r="W2" s="12" t="s">
        <v>23</v>
      </c>
      <c r="X2" s="12" t="s">
        <v>23</v>
      </c>
      <c r="Y2" s="12" t="s">
        <v>27</v>
      </c>
      <c r="Z2" s="12" t="s">
        <v>27</v>
      </c>
      <c r="AA2" s="12"/>
      <c r="AB2" s="12"/>
      <c r="AC2" s="12"/>
      <c r="AD2" s="12"/>
      <c r="AE2" s="12"/>
      <c r="AF2" s="12"/>
      <c r="AG2" s="12"/>
      <c r="AH2" s="12"/>
    </row>
    <row r="3" spans="1:34" x14ac:dyDescent="0.25">
      <c r="B3" s="12">
        <v>1</v>
      </c>
      <c r="C3" s="12" t="s">
        <v>58</v>
      </c>
      <c r="D3" s="12">
        <f>SUM(E3:AH3)</f>
        <v>280</v>
      </c>
      <c r="E3" s="1">
        <f>IF(ISNA(VLOOKUP(C3,'Rennen 1'!$C$3:$I$26,7,FALSE)),"-",VLOOKUP(C3,'Rennen 1'!$C$3:$I$26,7,FALSE))</f>
        <v>11</v>
      </c>
      <c r="F3" s="1">
        <f>IF(ISNA(VLOOKUP(C3,'Rennen 2'!$C$3:$I$26,7,FALSE)),"-",VLOOKUP(C3,'Rennen 2'!$C$3:$I$26,7,FALSE))</f>
        <v>20</v>
      </c>
      <c r="G3" s="1">
        <f>IF(ISNA(VLOOKUP(C3,'Rennen 3'!$C$3:$I$26,7,FALSE)),"-",VLOOKUP(C3,'Rennen 3'!$C$3:$I$26,7,FALSE))</f>
        <v>11</v>
      </c>
      <c r="H3" s="1">
        <f>IF(ISNA(VLOOKUP(C3,'Rennen 4'!$C$3:$I$26,7,FALSE)),"-",VLOOKUP(C3,'Rennen 4'!$C$3:$I$26,7,FALSE))</f>
        <v>11</v>
      </c>
      <c r="I3" s="1">
        <f>IF(ISNA(VLOOKUP(C3,'Rennen 5'!$C$3:$I$26,7,FALSE)),"-",VLOOKUP(C3,'Rennen 5'!$C$3:$I$26,7,FALSE))</f>
        <v>13</v>
      </c>
      <c r="J3" s="1">
        <f>IF(ISNA(VLOOKUP(C3,'Rennen 6'!$C$3:$I$26,7,FALSE)),"-",VLOOKUP(C3,'Rennen 6'!$C$3:$I$26,7,FALSE))</f>
        <v>11</v>
      </c>
      <c r="K3" s="1">
        <f>IF(ISNA(VLOOKUP(C3,'Rennen 7'!$C$3:$I$26,7,FALSE)),"-",VLOOKUP(C3,'Rennen 7'!$C$3:$I$26,7,FALSE))</f>
        <v>13</v>
      </c>
      <c r="L3" s="1">
        <f>IF(ISNA(VLOOKUP(C3,'Rennen 8'!$C$3:$I$26,7,FALSE)),"-",VLOOKUP(C3,'Rennen 8'!$C$3:$I$26,7,FALSE))</f>
        <v>10</v>
      </c>
      <c r="M3" s="1">
        <f>IF(ISNA(VLOOKUP(C3,'Rennen 9'!$C$3:$I$26,7,FALSE)),"-",VLOOKUP(C3,'Rennen 9'!$C$3:$I$26,7,FALSE))</f>
        <v>25</v>
      </c>
      <c r="N3" s="1">
        <f>IF(ISNA(VLOOKUP(C3,'Rennen 10'!$C$3:$I$26,7,FALSE)),"-",VLOOKUP(C3,'Rennen 10'!$C$3:$I$26,7,FALSE))</f>
        <v>10</v>
      </c>
      <c r="O3" s="1">
        <f>IF(ISNA(VLOOKUP(C3,'Rennen 11'!$C$3:$I$26,7,FALSE)),"-",VLOOKUP(C3,'Rennen 11'!$C$3:$I$26,7,FALSE))</f>
        <v>20</v>
      </c>
      <c r="P3" s="1">
        <f>IF(ISNA(VLOOKUP(C3,'Rennen 12'!$C$3:$I$26,7,FALSE)),"-",VLOOKUP(C3,'Rennen 12'!$C$3:$I$26,7,FALSE))</f>
        <v>25</v>
      </c>
      <c r="Q3" s="1">
        <f>IF(ISNA(VLOOKUP(C3,'Rennen 13'!$C$3:$I$26,7,FALSE)),"-",VLOOKUP(C3,'Rennen 13'!$C$3:$I$26,7,FALSE))</f>
        <v>20</v>
      </c>
      <c r="R3" s="1">
        <f>IF(ISNA(VLOOKUP(C3,'Rennen 14'!$C$3:$I$26,7,FALSE)),"-",VLOOKUP(C3,'Rennen 14'!$C$3:$I$26,7,FALSE))</f>
        <v>13</v>
      </c>
      <c r="S3" s="1">
        <f>IF(ISNA(VLOOKUP(C3,'Rennen 15'!$C$3:$I$26,7,FALSE)),"-",VLOOKUP(C3,'Rennen 15'!$C$3:$I$26,7,FALSE))</f>
        <v>25</v>
      </c>
      <c r="T3" s="1">
        <f>IF(ISNA(VLOOKUP(C3,'Rennen 16'!$C$3:$I$26,7,FALSE)),"-",VLOOKUP(C3,'Rennen 16'!$C$3:$I$26,7,FALSE))</f>
        <v>10</v>
      </c>
      <c r="U3" s="1">
        <f>IF(ISNA(VLOOKUP(C3,'Rennen 17'!$C$3:$I$26,7,FALSE)),"-",VLOOKUP(C3,'Rennen 17'!$C$3:$I$26,7,FALSE))</f>
        <v>16</v>
      </c>
      <c r="V3" s="1">
        <f>IF(ISNA(VLOOKUP(C3,'Rennen 18'!$C$3:$I$26,7,FALSE)),"-",VLOOKUP(C3,'Rennen 18'!$C$3:$I$26,7,FALSE))</f>
        <v>16</v>
      </c>
      <c r="W3" s="1" t="str">
        <f>IF(ISNA(VLOOKUP(C3,'Rennen 19'!$C$3:$I$26,7,FALSE)),"-",VLOOKUP(C3,'Rennen 19'!$C$3:$I$26,7,FALSE))</f>
        <v>-</v>
      </c>
      <c r="X3" s="1" t="str">
        <f>IF(ISNA(VLOOKUP(C3,'Rennen 20'!$C$3:$I$26,7,FALSE)),"-",VLOOKUP(C3,'Rennen 20'!$C$3:$I$26,7,FALSE))</f>
        <v>-</v>
      </c>
      <c r="Y3" s="1" t="str">
        <f>IF(ISNA(VLOOKUP(C3,'Rennen 21'!$C$3:$I$26,7,FALSE)),"-",VLOOKUP(C3,'Rennen 21'!$C$3:$I$26,7,FALSE))</f>
        <v>-</v>
      </c>
      <c r="Z3" s="1" t="str">
        <f>IF(ISNA(VLOOKUP(C3,'Rennen 22'!$C$3:$I$26,7,FALSE)),"-",VLOOKUP(C3,'Rennen 22'!$C$3:$I$26,7,FALSE))</f>
        <v>-</v>
      </c>
      <c r="AA3" s="1"/>
      <c r="AB3" s="1"/>
      <c r="AC3" s="1"/>
      <c r="AD3" s="1"/>
      <c r="AE3" s="1"/>
      <c r="AF3" s="1"/>
      <c r="AG3" s="1"/>
      <c r="AH3" s="1"/>
    </row>
    <row r="4" spans="1:34" x14ac:dyDescent="0.25">
      <c r="B4" s="12">
        <v>2</v>
      </c>
      <c r="C4" s="12" t="s">
        <v>66</v>
      </c>
      <c r="D4" s="12">
        <f>SUM(E4:AH4)</f>
        <v>259</v>
      </c>
      <c r="E4" s="1">
        <f>IF(ISNA(VLOOKUP(C4,'Rennen 1'!$C$3:$I$26,7,FALSE)),"-",VLOOKUP(C4,'Rennen 1'!$C$3:$I$26,7,FALSE))</f>
        <v>13</v>
      </c>
      <c r="F4" s="1">
        <f>IF(ISNA(VLOOKUP(C4,'Rennen 2'!$C$3:$I$26,7,FALSE)),"-",VLOOKUP(C4,'Rennen 2'!$C$3:$I$26,7,FALSE))</f>
        <v>16</v>
      </c>
      <c r="G4" s="1">
        <f>IF(ISNA(VLOOKUP(C4,'Rennen 3'!$C$3:$I$26,7,FALSE)),"-",VLOOKUP(C4,'Rennen 3'!$C$3:$I$26,7,FALSE))</f>
        <v>16</v>
      </c>
      <c r="H4" s="1">
        <f>IF(ISNA(VLOOKUP(C4,'Rennen 4'!$C$3:$I$26,7,FALSE)),"-",VLOOKUP(C4,'Rennen 4'!$C$3:$I$26,7,FALSE))</f>
        <v>20</v>
      </c>
      <c r="I4" s="1">
        <f>IF(ISNA(VLOOKUP(C4,'Rennen 5'!$C$3:$I$26,7,FALSE)),"-",VLOOKUP(C4,'Rennen 5'!$C$3:$I$26,7,FALSE))</f>
        <v>8</v>
      </c>
      <c r="J4" s="1">
        <f>IF(ISNA(VLOOKUP(C4,'Rennen 6'!$C$3:$I$26,7,FALSE)),"-",VLOOKUP(C4,'Rennen 6'!$C$3:$I$26,7,FALSE))</f>
        <v>20</v>
      </c>
      <c r="K4" s="1">
        <f>IF(ISNA(VLOOKUP(C4,'Rennen 7'!$C$3:$I$26,7,FALSE)),"-",VLOOKUP(C4,'Rennen 7'!$C$3:$I$26,7,FALSE))</f>
        <v>6</v>
      </c>
      <c r="L4" s="1">
        <f>IF(ISNA(VLOOKUP(C4,'Rennen 8'!$C$3:$I$26,7,FALSE)),"-",VLOOKUP(C4,'Rennen 8'!$C$3:$I$26,7,FALSE))</f>
        <v>7</v>
      </c>
      <c r="M4" s="1">
        <f>IF(ISNA(VLOOKUP(C4,'Rennen 9'!$C$3:$I$26,7,FALSE)),"-",VLOOKUP(C4,'Rennen 9'!$C$3:$I$26,7,FALSE))</f>
        <v>20</v>
      </c>
      <c r="N4" s="1">
        <f>IF(ISNA(VLOOKUP(C4,'Rennen 10'!$C$3:$I$26,7,FALSE)),"-",VLOOKUP(C4,'Rennen 10'!$C$3:$I$26,7,FALSE))</f>
        <v>20</v>
      </c>
      <c r="O4" s="1">
        <f>IF(ISNA(VLOOKUP(C4,'Rennen 11'!$C$3:$I$26,7,FALSE)),"-",VLOOKUP(C4,'Rennen 11'!$C$3:$I$26,7,FALSE))</f>
        <v>25</v>
      </c>
      <c r="P4" s="1">
        <f>IF(ISNA(VLOOKUP(C4,'Rennen 12'!$C$3:$I$26,7,FALSE)),"-",VLOOKUP(C4,'Rennen 12'!$C$3:$I$26,7,FALSE))</f>
        <v>13</v>
      </c>
      <c r="Q4" s="1">
        <f>IF(ISNA(VLOOKUP(C4,'Rennen 13'!$C$3:$I$26,7,FALSE)),"-",VLOOKUP(C4,'Rennen 13'!$C$3:$I$26,7,FALSE))</f>
        <v>11</v>
      </c>
      <c r="R4" s="1">
        <f>IF(ISNA(VLOOKUP(C4,'Rennen 14'!$C$3:$I$26,7,FALSE)),"-",VLOOKUP(C4,'Rennen 14'!$C$3:$I$26,7,FALSE))</f>
        <v>11</v>
      </c>
      <c r="S4" s="1">
        <f>IF(ISNA(VLOOKUP(C4,'Rennen 15'!$C$3:$I$26,7,FALSE)),"-",VLOOKUP(C4,'Rennen 15'!$C$3:$I$26,7,FALSE))</f>
        <v>20</v>
      </c>
      <c r="T4" s="1">
        <f>IF(ISNA(VLOOKUP(C4,'Rennen 16'!$C$3:$I$26,7,FALSE)),"-",VLOOKUP(C4,'Rennen 16'!$C$3:$I$26,7,FALSE))</f>
        <v>11</v>
      </c>
      <c r="U4" s="1">
        <f>IF(ISNA(VLOOKUP(C4,'Rennen 17'!$C$3:$I$26,7,FALSE)),"-",VLOOKUP(C4,'Rennen 17'!$C$3:$I$26,7,FALSE))</f>
        <v>13</v>
      </c>
      <c r="V4" s="1">
        <f>IF(ISNA(VLOOKUP(C4,'Rennen 18'!$C$3:$I$26,7,FALSE)),"-",VLOOKUP(C4,'Rennen 18'!$C$3:$I$26,7,FALSE))</f>
        <v>9</v>
      </c>
      <c r="W4" s="1" t="str">
        <f>IF(ISNA(VLOOKUP(C4,'Rennen 19'!$C$3:$I$26,7,FALSE)),"-",VLOOKUP(C4,'Rennen 19'!$C$3:$I$26,7,FALSE))</f>
        <v>-</v>
      </c>
      <c r="X4" s="1" t="str">
        <f>IF(ISNA(VLOOKUP(C4,'Rennen 20'!$C$3:$I$26,7,FALSE)),"-",VLOOKUP(C4,'Rennen 20'!$C$3:$I$26,7,FALSE))</f>
        <v>-</v>
      </c>
      <c r="Y4" s="1" t="str">
        <f>IF(ISNA(VLOOKUP(C4,'Rennen 21'!$C$3:$I$26,7,FALSE)),"-",VLOOKUP(C4,'Rennen 21'!$C$3:$I$26,7,FALSE))</f>
        <v>-</v>
      </c>
      <c r="Z4" s="1" t="str">
        <f>IF(ISNA(VLOOKUP(C4,'Rennen 22'!$C$3:$I$26,7,FALSE)),"-",VLOOKUP(C4,'Rennen 22'!$C$3:$I$26,7,FALSE))</f>
        <v>-</v>
      </c>
      <c r="AA4" s="1"/>
      <c r="AB4" s="1"/>
      <c r="AC4" s="1"/>
      <c r="AD4" s="1"/>
      <c r="AE4" s="1"/>
      <c r="AF4" s="1"/>
      <c r="AG4" s="1"/>
      <c r="AH4" s="1"/>
    </row>
    <row r="5" spans="1:34" x14ac:dyDescent="0.25">
      <c r="B5" s="12">
        <v>3</v>
      </c>
      <c r="C5" s="12" t="s">
        <v>56</v>
      </c>
      <c r="D5" s="12">
        <f>SUM(E5:AH5)</f>
        <v>240</v>
      </c>
      <c r="E5" s="1">
        <f>IF(ISNA(VLOOKUP(C5,'Rennen 1'!$C$3:$I$26,7,FALSE)),"-",VLOOKUP(C5,'Rennen 1'!$C$3:$I$26,7,FALSE))</f>
        <v>20</v>
      </c>
      <c r="F5" s="1">
        <f>IF(ISNA(VLOOKUP(C5,'Rennen 2'!$C$3:$I$26,7,FALSE)),"-",VLOOKUP(C5,'Rennen 2'!$C$3:$I$26,7,FALSE))</f>
        <v>13</v>
      </c>
      <c r="G5" s="1">
        <f>IF(ISNA(VLOOKUP(C5,'Rennen 3'!$C$3:$I$26,7,FALSE)),"-",VLOOKUP(C5,'Rennen 3'!$C$3:$I$26,7,FALSE))</f>
        <v>20</v>
      </c>
      <c r="H5" s="1">
        <f>IF(ISNA(VLOOKUP(C5,'Rennen 4'!$C$3:$I$26,7,FALSE)),"-",VLOOKUP(C5,'Rennen 4'!$C$3:$I$26,7,FALSE))</f>
        <v>16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>
        <f>IF(ISNA(VLOOKUP(C5,'Rennen 7'!$C$3:$I$26,7,FALSE)),"-",VLOOKUP(C5,'Rennen 7'!$C$3:$I$26,7,FALSE))</f>
        <v>10</v>
      </c>
      <c r="L5" s="1">
        <f>IF(ISNA(VLOOKUP(C5,'Rennen 8'!$C$3:$I$26,7,FALSE)),"-",VLOOKUP(C5,'Rennen 8'!$C$3:$I$26,7,FALSE))</f>
        <v>6</v>
      </c>
      <c r="M5" s="1">
        <f>IF(ISNA(VLOOKUP(C5,'Rennen 9'!$C$3:$I$26,7,FALSE)),"-",VLOOKUP(C5,'Rennen 9'!$C$3:$I$26,7,FALSE))</f>
        <v>13</v>
      </c>
      <c r="N5" s="1">
        <f>IF(ISNA(VLOOKUP(C5,'Rennen 10'!$C$3:$I$26,7,FALSE)),"-",VLOOKUP(C5,'Rennen 10'!$C$3:$I$26,7,FALSE))</f>
        <v>16</v>
      </c>
      <c r="O5" s="1">
        <f>IF(ISNA(VLOOKUP(C5,'Rennen 11'!$C$3:$I$26,7,FALSE)),"-",VLOOKUP(C5,'Rennen 11'!$C$3:$I$26,7,FALSE))</f>
        <v>16</v>
      </c>
      <c r="P5" s="1">
        <f>IF(ISNA(VLOOKUP(C5,'Rennen 12'!$C$3:$I$26,7,FALSE)),"-",VLOOKUP(C5,'Rennen 12'!$C$3:$I$26,7,FALSE))</f>
        <v>6</v>
      </c>
      <c r="Q5" s="1">
        <f>IF(ISNA(VLOOKUP(C5,'Rennen 13'!$C$3:$I$26,7,FALSE)),"-",VLOOKUP(C5,'Rennen 13'!$C$3:$I$26,7,FALSE))</f>
        <v>25</v>
      </c>
      <c r="R5" s="1">
        <f>IF(ISNA(VLOOKUP(C5,'Rennen 14'!$C$3:$I$26,7,FALSE)),"-",VLOOKUP(C5,'Rennen 14'!$C$3:$I$26,7,FALSE))</f>
        <v>25</v>
      </c>
      <c r="S5" s="1">
        <f>IF(ISNA(VLOOKUP(C5,'Rennen 15'!$C$3:$I$26,7,FALSE)),"-",VLOOKUP(C5,'Rennen 15'!$C$3:$I$26,7,FALSE))</f>
        <v>10</v>
      </c>
      <c r="T5" s="1">
        <f>IF(ISNA(VLOOKUP(C5,'Rennen 16'!$C$3:$I$26,7,FALSE)),"-",VLOOKUP(C5,'Rennen 16'!$C$3:$I$26,7,FALSE))</f>
        <v>25</v>
      </c>
      <c r="U5" s="1">
        <f>IF(ISNA(VLOOKUP(C5,'Rennen 17'!$C$3:$I$26,7,FALSE)),"-",VLOOKUP(C5,'Rennen 17'!$C$3:$I$26,7,FALSE))</f>
        <v>11</v>
      </c>
      <c r="V5" s="1">
        <f>IF(ISNA(VLOOKUP(C5,'Rennen 18'!$C$3:$I$26,7,FALSE)),"-",VLOOKUP(C5,'Rennen 18'!$C$3:$I$26,7,FALSE))</f>
        <v>8</v>
      </c>
      <c r="W5" s="1" t="str">
        <f>IF(ISNA(VLOOKUP(C5,'Rennen 19'!$C$3:$I$26,7,FALSE)),"-",VLOOKUP(C5,'Rennen 19'!$C$3:$I$26,7,FALSE))</f>
        <v>-</v>
      </c>
      <c r="X5" s="1" t="str">
        <f>IF(ISNA(VLOOKUP(C5,'Rennen 20'!$C$3:$I$26,7,FALSE)),"-",VLOOKUP(C5,'Rennen 20'!$C$3:$I$26,7,FALSE))</f>
        <v>-</v>
      </c>
      <c r="Y5" s="1" t="str">
        <f>IF(ISNA(VLOOKUP(C5,'Rennen 21'!$C$3:$I$26,7,FALSE)),"-",VLOOKUP(C5,'Rennen 21'!$C$3:$I$26,7,FALSE))</f>
        <v>-</v>
      </c>
      <c r="Z5" s="1" t="str">
        <f>IF(ISNA(VLOOKUP(C5,'Rennen 22'!$C$3:$I$26,7,FALSE)),"-",VLOOKUP(C5,'Rennen 22'!$C$3:$I$26,7,FALSE))</f>
        <v>-</v>
      </c>
      <c r="AA5" s="1"/>
      <c r="AB5" s="1"/>
      <c r="AC5" s="1"/>
      <c r="AD5" s="1"/>
      <c r="AE5" s="1"/>
      <c r="AF5" s="1"/>
      <c r="AG5" s="1"/>
      <c r="AH5" s="1"/>
    </row>
    <row r="6" spans="1:34" x14ac:dyDescent="0.25">
      <c r="B6" s="12">
        <v>4</v>
      </c>
      <c r="C6" s="12" t="s">
        <v>55</v>
      </c>
      <c r="D6" s="12">
        <f>SUM(E6:AH6)</f>
        <v>224</v>
      </c>
      <c r="E6" s="1">
        <f>IF(ISNA(VLOOKUP(C6,'Rennen 1'!$C$3:$I$26,7,FALSE)),"-",VLOOKUP(C6,'Rennen 1'!$C$3:$I$26,7,FALSE))</f>
        <v>25</v>
      </c>
      <c r="F6" s="1">
        <f>IF(ISNA(VLOOKUP(C6,'Rennen 2'!$C$3:$I$26,7,FALSE)),"-",VLOOKUP(C6,'Rennen 2'!$C$3:$I$26,7,FALSE))</f>
        <v>25</v>
      </c>
      <c r="G6" s="1">
        <f>IF(ISNA(VLOOKUP(C6,'Rennen 3'!$C$3:$I$26,7,FALSE)),"-",VLOOKUP(C6,'Rennen 3'!$C$3:$I$26,7,FALSE))</f>
        <v>13</v>
      </c>
      <c r="H6" s="1">
        <f>IF(ISNA(VLOOKUP(C6,'Rennen 4'!$C$3:$I$26,7,FALSE)),"-",VLOOKUP(C6,'Rennen 4'!$C$3:$I$26,7,FALSE))</f>
        <v>13</v>
      </c>
      <c r="I6" s="1">
        <f>IF(ISNA(VLOOKUP(C6,'Rennen 5'!$C$3:$I$26,7,FALSE)),"-",VLOOKUP(C6,'Rennen 5'!$C$3:$I$26,7,FALSE))</f>
        <v>11</v>
      </c>
      <c r="J6" s="1">
        <f>IF(ISNA(VLOOKUP(C6,'Rennen 6'!$C$3:$I$26,7,FALSE)),"-",VLOOKUP(C6,'Rennen 6'!$C$3:$I$26,7,FALSE))</f>
        <v>9</v>
      </c>
      <c r="K6" s="1">
        <f>IF(ISNA(VLOOKUP(C6,'Rennen 7'!$C$3:$I$26,7,FALSE)),"-",VLOOKUP(C6,'Rennen 7'!$C$3:$I$26,7,FALSE))</f>
        <v>9</v>
      </c>
      <c r="L6" s="1">
        <f>IF(ISNA(VLOOKUP(C6,'Rennen 8'!$C$3:$I$26,7,FALSE)),"-",VLOOKUP(C6,'Rennen 8'!$C$3:$I$26,7,FALSE))</f>
        <v>9</v>
      </c>
      <c r="M6" s="1">
        <f>IF(ISNA(VLOOKUP(C6,'Rennen 9'!$C$3:$I$26,7,FALSE)),"-",VLOOKUP(C6,'Rennen 9'!$C$3:$I$26,7,FALSE))</f>
        <v>7</v>
      </c>
      <c r="N6" s="1">
        <f>IF(ISNA(VLOOKUP(C6,'Rennen 10'!$C$3:$I$26,7,FALSE)),"-",VLOOKUP(C6,'Rennen 10'!$C$3:$I$26,7,FALSE))</f>
        <v>11</v>
      </c>
      <c r="O6" s="1">
        <f>IF(ISNA(VLOOKUP(C6,'Rennen 11'!$C$3:$I$26,7,FALSE)),"-",VLOOKUP(C6,'Rennen 11'!$C$3:$I$26,7,FALSE))</f>
        <v>11</v>
      </c>
      <c r="P6" s="1">
        <f>IF(ISNA(VLOOKUP(C6,'Rennen 12'!$C$3:$I$26,7,FALSE)),"-",VLOOKUP(C6,'Rennen 12'!$C$3:$I$26,7,FALSE))</f>
        <v>11</v>
      </c>
      <c r="Q6" s="1">
        <f>IF(ISNA(VLOOKUP(C6,'Rennen 13'!$C$3:$I$26,7,FALSE)),"-",VLOOKUP(C6,'Rennen 13'!$C$3:$I$26,7,FALSE))</f>
        <v>9</v>
      </c>
      <c r="R6" s="1">
        <f>IF(ISNA(VLOOKUP(C6,'Rennen 14'!$C$3:$I$26,7,FALSE)),"-",VLOOKUP(C6,'Rennen 14'!$C$3:$I$26,7,FALSE))</f>
        <v>9</v>
      </c>
      <c r="S6" s="1">
        <f>IF(ISNA(VLOOKUP(C6,'Rennen 15'!$C$3:$I$26,7,FALSE)),"-",VLOOKUP(C6,'Rennen 15'!$C$3:$I$26,7,FALSE))</f>
        <v>16</v>
      </c>
      <c r="T6" s="1">
        <f>IF(ISNA(VLOOKUP(C6,'Rennen 16'!$C$3:$I$26,7,FALSE)),"-",VLOOKUP(C6,'Rennen 16'!$C$3:$I$26,7,FALSE))</f>
        <v>16</v>
      </c>
      <c r="U6" s="1">
        <f>IF(ISNA(VLOOKUP(C6,'Rennen 17'!$C$3:$I$26,7,FALSE)),"-",VLOOKUP(C6,'Rennen 17'!$C$3:$I$26,7,FALSE))</f>
        <v>9</v>
      </c>
      <c r="V6" s="1">
        <f>IF(ISNA(VLOOKUP(C6,'Rennen 18'!$C$3:$I$26,7,FALSE)),"-",VLOOKUP(C6,'Rennen 18'!$C$3:$I$26,7,FALSE))</f>
        <v>11</v>
      </c>
      <c r="W6" s="1" t="str">
        <f>IF(ISNA(VLOOKUP(C6,'Rennen 19'!$C$3:$I$26,7,FALSE)),"-",VLOOKUP(C6,'Rennen 19'!$C$3:$I$26,7,FALSE))</f>
        <v>-</v>
      </c>
      <c r="X6" s="1" t="str">
        <f>IF(ISNA(VLOOKUP(C6,'Rennen 20'!$C$3:$I$26,7,FALSE)),"-",VLOOKUP(C6,'Rennen 20'!$C$3:$I$26,7,FALSE))</f>
        <v>-</v>
      </c>
      <c r="Y6" s="1" t="str">
        <f>IF(ISNA(VLOOKUP(C6,'Rennen 21'!$C$3:$I$26,7,FALSE)),"-",VLOOKUP(C6,'Rennen 21'!$C$3:$I$26,7,FALSE))</f>
        <v>-</v>
      </c>
      <c r="Z6" s="1" t="str">
        <f>IF(ISNA(VLOOKUP(C6,'Rennen 22'!$C$3:$I$26,7,FALSE)),"-",VLOOKUP(C6,'Rennen 22'!$C$3:$I$26,7,FALSE))</f>
        <v>-</v>
      </c>
      <c r="AA6" s="1"/>
      <c r="AB6" s="1"/>
      <c r="AC6" s="1"/>
      <c r="AD6" s="1"/>
      <c r="AE6" s="1"/>
      <c r="AF6" s="1"/>
      <c r="AG6" s="1"/>
      <c r="AH6" s="1"/>
    </row>
    <row r="7" spans="1:34" x14ac:dyDescent="0.25">
      <c r="B7" s="12">
        <v>5</v>
      </c>
      <c r="C7" s="12" t="s">
        <v>57</v>
      </c>
      <c r="D7" s="12">
        <f>SUM(E7:AH7)</f>
        <v>215</v>
      </c>
      <c r="E7" s="1">
        <f>IF(ISNA(VLOOKUP(C7,'Rennen 1'!$C$3:$I$26,7,FALSE)),"-",VLOOKUP(C7,'Rennen 1'!$C$3:$I$26,7,FALSE))</f>
        <v>16</v>
      </c>
      <c r="F7" s="1">
        <f>IF(ISNA(VLOOKUP(C7,'Rennen 2'!$C$3:$I$26,7,FALSE)),"-",VLOOKUP(C7,'Rennen 2'!$C$3:$I$26,7,FALSE))</f>
        <v>11</v>
      </c>
      <c r="G7" s="1" t="str">
        <f>IF(ISNA(VLOOKUP(C7,'Rennen 3'!$C$3:$I$26,7,FALSE)),"-",VLOOKUP(C7,'Rennen 3'!$C$3:$I$26,7,FALSE))</f>
        <v>-</v>
      </c>
      <c r="H7" s="1" t="str">
        <f>IF(ISNA(VLOOKUP(C7,'Rennen 4'!$C$3:$I$26,7,FALSE)),"-",VLOOKUP(C7,'Rennen 4'!$C$3:$I$26,7,FALSE))</f>
        <v>-</v>
      </c>
      <c r="I7" s="1">
        <f>IF(ISNA(VLOOKUP(C7,'Rennen 5'!$C$3:$I$26,7,FALSE)),"-",VLOOKUP(C7,'Rennen 5'!$C$3:$I$26,7,FALSE))</f>
        <v>25</v>
      </c>
      <c r="J7" s="1">
        <f>IF(ISNA(VLOOKUP(C7,'Rennen 6'!$C$3:$I$26,7,FALSE)),"-",VLOOKUP(C7,'Rennen 6'!$C$3:$I$26,7,FALSE))</f>
        <v>16</v>
      </c>
      <c r="K7" s="1">
        <f>IF(ISNA(VLOOKUP(C7,'Rennen 7'!$C$3:$I$26,7,FALSE)),"-",VLOOKUP(C7,'Rennen 7'!$C$3:$I$26,7,FALSE))</f>
        <v>16</v>
      </c>
      <c r="L7" s="1">
        <f>IF(ISNA(VLOOKUP(C7,'Rennen 8'!$C$3:$I$26,7,FALSE)),"-",VLOOKUP(C7,'Rennen 8'!$C$3:$I$26,7,FALSE))</f>
        <v>11</v>
      </c>
      <c r="M7" s="1">
        <f>IF(ISNA(VLOOKUP(C7,'Rennen 9'!$C$3:$I$26,7,FALSE)),"-",VLOOKUP(C7,'Rennen 9'!$C$3:$I$26,7,FALSE))</f>
        <v>11</v>
      </c>
      <c r="N7" s="1">
        <f>IF(ISNA(VLOOKUP(C7,'Rennen 10'!$C$3:$I$26,7,FALSE)),"-",VLOOKUP(C7,'Rennen 10'!$C$3:$I$26,7,FALSE))</f>
        <v>25</v>
      </c>
      <c r="O7" s="1">
        <f>IF(ISNA(VLOOKUP(C7,'Rennen 11'!$C$3:$I$26,7,FALSE)),"-",VLOOKUP(C7,'Rennen 11'!$C$3:$I$26,7,FALSE))</f>
        <v>9</v>
      </c>
      <c r="P7" s="1">
        <f>IF(ISNA(VLOOKUP(C7,'Rennen 12'!$C$3:$I$26,7,FALSE)),"-",VLOOKUP(C7,'Rennen 12'!$C$3:$I$26,7,FALSE))</f>
        <v>16</v>
      </c>
      <c r="Q7" s="1">
        <f>IF(ISNA(VLOOKUP(C7,'Rennen 13'!$C$3:$I$26,7,FALSE)),"-",VLOOKUP(C7,'Rennen 13'!$C$3:$I$26,7,FALSE))</f>
        <v>10</v>
      </c>
      <c r="R7" s="1">
        <f>IF(ISNA(VLOOKUP(C7,'Rennen 14'!$C$3:$I$26,7,FALSE)),"-",VLOOKUP(C7,'Rennen 14'!$C$3:$I$26,7,FALSE))</f>
        <v>16</v>
      </c>
      <c r="S7" s="1" t="str">
        <f>IF(ISNA(VLOOKUP(C7,'Rennen 15'!$C$3:$I$26,7,FALSE)),"-",VLOOKUP(C7,'Rennen 15'!$C$3:$I$26,7,FALSE))</f>
        <v>-</v>
      </c>
      <c r="T7" s="1" t="str">
        <f>IF(ISNA(VLOOKUP(C7,'Rennen 16'!$C$3:$I$26,7,FALSE)),"-",VLOOKUP(C7,'Rennen 16'!$C$3:$I$26,7,FALSE))</f>
        <v>-</v>
      </c>
      <c r="U7" s="1">
        <f>IF(ISNA(VLOOKUP(C7,'Rennen 17'!$C$3:$I$26,7,FALSE)),"-",VLOOKUP(C7,'Rennen 17'!$C$3:$I$26,7,FALSE))</f>
        <v>20</v>
      </c>
      <c r="V7" s="1">
        <f>IF(ISNA(VLOOKUP(C7,'Rennen 18'!$C$3:$I$26,7,FALSE)),"-",VLOOKUP(C7,'Rennen 18'!$C$3:$I$26,7,FALSE))</f>
        <v>13</v>
      </c>
      <c r="W7" s="1" t="str">
        <f>IF(ISNA(VLOOKUP(C7,'Rennen 19'!$C$3:$I$26,7,FALSE)),"-",VLOOKUP(C7,'Rennen 19'!$C$3:$I$26,7,FALSE))</f>
        <v>-</v>
      </c>
      <c r="X7" s="1" t="str">
        <f>IF(ISNA(VLOOKUP(C7,'Rennen 20'!$C$3:$I$26,7,FALSE)),"-",VLOOKUP(C7,'Rennen 20'!$C$3:$I$26,7,FALSE))</f>
        <v>-</v>
      </c>
      <c r="Y7" s="1" t="str">
        <f>IF(ISNA(VLOOKUP(C7,'Rennen 21'!$C$3:$I$26,7,FALSE)),"-",VLOOKUP(C7,'Rennen 21'!$C$3:$I$26,7,FALSE))</f>
        <v>-</v>
      </c>
      <c r="Z7" s="1" t="str">
        <f>IF(ISNA(VLOOKUP(C7,'Rennen 22'!$C$3:$I$26,7,FALSE)),"-",VLOOKUP(C7,'Rennen 22'!$C$3:$I$26,7,FALSE))</f>
        <v>-</v>
      </c>
      <c r="AA7" s="1"/>
      <c r="AB7" s="1"/>
      <c r="AC7" s="1"/>
      <c r="AD7" s="1"/>
      <c r="AE7" s="1"/>
      <c r="AF7" s="1"/>
      <c r="AG7" s="1"/>
      <c r="AH7" s="1"/>
    </row>
    <row r="8" spans="1:34" x14ac:dyDescent="0.25">
      <c r="B8" s="12">
        <v>6</v>
      </c>
      <c r="C8" s="12" t="s">
        <v>110</v>
      </c>
      <c r="D8" s="12">
        <f>SUM(E8:AH8)</f>
        <v>209</v>
      </c>
      <c r="E8" s="1" t="str">
        <f>IF(ISNA(VLOOKUP(C8,'Rennen 1'!$C$3:$I$26,7,FALSE)),"-",VLOOKUP(C8,'Rennen 1'!$C$3:$I$26,7,FALSE))</f>
        <v>-</v>
      </c>
      <c r="F8" s="1" t="str">
        <f>IF(ISNA(VLOOKUP(C8,'Rennen 2'!$C$3:$I$26,7,FALSE)),"-",VLOOKUP(C8,'Rennen 2'!$C$3:$I$26,7,FALSE))</f>
        <v>-</v>
      </c>
      <c r="G8" s="1" t="str">
        <f>IF(ISNA(VLOOKUP(C8,'Rennen 3'!$C$3:$I$26,7,FALSE)),"-",VLOOKUP(C8,'Rennen 3'!$C$3:$I$26,7,FALSE))</f>
        <v>-</v>
      </c>
      <c r="H8" s="1" t="str">
        <f>IF(ISNA(VLOOKUP(C8,'Rennen 4'!$C$3:$I$26,7,FALSE)),"-",VLOOKUP(C8,'Rennen 4'!$C$3:$I$26,7,FALSE))</f>
        <v>-</v>
      </c>
      <c r="I8" s="1">
        <f>IF(ISNA(VLOOKUP(C8,'Rennen 5'!$C$3:$I$26,7,FALSE)),"-",VLOOKUP(C8,'Rennen 5'!$C$3:$I$26,7,FALSE))</f>
        <v>20</v>
      </c>
      <c r="J8" s="1">
        <f>IF(ISNA(VLOOKUP(C8,'Rennen 6'!$C$3:$I$26,7,FALSE)),"-",VLOOKUP(C8,'Rennen 6'!$C$3:$I$26,7,FALSE))</f>
        <v>13</v>
      </c>
      <c r="K8" s="1">
        <f>IF(ISNA(VLOOKUP(C8,'Rennen 7'!$C$3:$I$26,7,FALSE)),"-",VLOOKUP(C8,'Rennen 7'!$C$3:$I$26,7,FALSE))</f>
        <v>20</v>
      </c>
      <c r="L8" s="1">
        <f>IF(ISNA(VLOOKUP(C8,'Rennen 8'!$C$3:$I$26,7,FALSE)),"-",VLOOKUP(C8,'Rennen 8'!$C$3:$I$26,7,FALSE))</f>
        <v>13</v>
      </c>
      <c r="M8" s="1">
        <f>IF(ISNA(VLOOKUP(C8,'Rennen 9'!$C$3:$I$26,7,FALSE)),"-",VLOOKUP(C8,'Rennen 9'!$C$3:$I$26,7,FALSE))</f>
        <v>16</v>
      </c>
      <c r="N8" s="1">
        <f>IF(ISNA(VLOOKUP(C8,'Rennen 10'!$C$3:$I$26,7,FALSE)),"-",VLOOKUP(C8,'Rennen 10'!$C$3:$I$26,7,FALSE))</f>
        <v>13</v>
      </c>
      <c r="O8" s="1">
        <f>IF(ISNA(VLOOKUP(C8,'Rennen 11'!$C$3:$I$26,7,FALSE)),"-",VLOOKUP(C8,'Rennen 11'!$C$3:$I$26,7,FALSE))</f>
        <v>13</v>
      </c>
      <c r="P8" s="1">
        <f>IF(ISNA(VLOOKUP(C8,'Rennen 12'!$C$3:$I$26,7,FALSE)),"-",VLOOKUP(C8,'Rennen 12'!$C$3:$I$26,7,FALSE))</f>
        <v>20</v>
      </c>
      <c r="Q8" s="1">
        <f>IF(ISNA(VLOOKUP(C8,'Rennen 13'!$C$3:$I$26,7,FALSE)),"-",VLOOKUP(C8,'Rennen 13'!$C$3:$I$26,7,FALSE))</f>
        <v>16</v>
      </c>
      <c r="R8" s="1">
        <f>IF(ISNA(VLOOKUP(C8,'Rennen 14'!$C$3:$I$26,7,FALSE)),"-",VLOOKUP(C8,'Rennen 14'!$C$3:$I$26,7,FALSE))</f>
        <v>20</v>
      </c>
      <c r="S8" s="1" t="str">
        <f>IF(ISNA(VLOOKUP(C8,'Rennen 15'!$C$3:$I$26,7,FALSE)),"-",VLOOKUP(C8,'Rennen 15'!$C$3:$I$26,7,FALSE))</f>
        <v>-</v>
      </c>
      <c r="T8" s="1" t="str">
        <f>IF(ISNA(VLOOKUP(C8,'Rennen 16'!$C$3:$I$26,7,FALSE)),"-",VLOOKUP(C8,'Rennen 16'!$C$3:$I$26,7,FALSE))</f>
        <v>-</v>
      </c>
      <c r="U8" s="1">
        <f>IF(ISNA(VLOOKUP(C8,'Rennen 17'!$C$3:$I$26,7,FALSE)),"-",VLOOKUP(C8,'Rennen 17'!$C$3:$I$26,7,FALSE))</f>
        <v>25</v>
      </c>
      <c r="V8" s="1">
        <f>IF(ISNA(VLOOKUP(C8,'Rennen 18'!$C$3:$I$26,7,FALSE)),"-",VLOOKUP(C8,'Rennen 18'!$C$3:$I$26,7,FALSE))</f>
        <v>20</v>
      </c>
      <c r="W8" s="1" t="str">
        <f>IF(ISNA(VLOOKUP(C8,'Rennen 19'!$C$3:$I$26,7,FALSE)),"-",VLOOKUP(C8,'Rennen 19'!$C$3:$I$26,7,FALSE))</f>
        <v>-</v>
      </c>
      <c r="X8" s="1" t="str">
        <f>IF(ISNA(VLOOKUP(C8,'Rennen 20'!$C$3:$I$26,7,FALSE)),"-",VLOOKUP(C8,'Rennen 20'!$C$3:$I$26,7,FALSE))</f>
        <v>-</v>
      </c>
      <c r="Y8" s="1" t="str">
        <f>IF(ISNA(VLOOKUP(C8,'Rennen 21'!$C$3:$I$26,7,FALSE)),"-",VLOOKUP(C8,'Rennen 21'!$C$3:$I$26,7,FALSE))</f>
        <v>-</v>
      </c>
      <c r="Z8" s="1" t="str">
        <f>IF(ISNA(VLOOKUP(C8,'Rennen 22'!$C$3:$I$26,7,FALSE)),"-",VLOOKUP(C8,'Rennen 22'!$C$3:$I$26,7,FALSE))</f>
        <v>-</v>
      </c>
      <c r="AA8" s="1"/>
      <c r="AB8" s="1"/>
      <c r="AC8" s="1"/>
      <c r="AD8" s="1"/>
      <c r="AE8" s="1"/>
      <c r="AF8" s="1"/>
      <c r="AG8" s="1"/>
      <c r="AH8" s="1"/>
    </row>
    <row r="9" spans="1:34" x14ac:dyDescent="0.25">
      <c r="B9" s="12">
        <v>7</v>
      </c>
      <c r="C9" s="12" t="s">
        <v>83</v>
      </c>
      <c r="D9" s="12">
        <f>SUM(E9:AH9)</f>
        <v>141</v>
      </c>
      <c r="E9" s="1" t="str">
        <f>IF(ISNA(VLOOKUP(C9,'Rennen 1'!$C$3:$I$26,7,FALSE)),"-",VLOOKUP(C9,'Rennen 1'!$C$3:$I$26,7,FALSE))</f>
        <v>-</v>
      </c>
      <c r="F9" s="1" t="str">
        <f>IF(ISNA(VLOOKUP(C9,'Rennen 2'!$C$3:$I$26,7,FALSE)),"-",VLOOKUP(C9,'Rennen 2'!$C$3:$I$26,7,FALSE))</f>
        <v>-</v>
      </c>
      <c r="G9" s="1">
        <f>IF(ISNA(VLOOKUP(C9,'Rennen 3'!$C$3:$I$26,7,FALSE)),"-",VLOOKUP(C9,'Rennen 3'!$C$3:$I$26,7,FALSE))</f>
        <v>25</v>
      </c>
      <c r="H9" s="1">
        <f>IF(ISNA(VLOOKUP(C9,'Rennen 4'!$C$3:$I$26,7,FALSE)),"-",VLOOKUP(C9,'Rennen 4'!$C$3:$I$26,7,FALSE))</f>
        <v>25</v>
      </c>
      <c r="I9" s="1">
        <f>IF(ISNA(VLOOKUP(C9,'Rennen 5'!$C$3:$I$26,7,FALSE)),"-",VLOOKUP(C9,'Rennen 5'!$C$3:$I$26,7,FALSE))</f>
        <v>16</v>
      </c>
      <c r="J9" s="1">
        <f>IF(ISNA(VLOOKUP(C9,'Rennen 6'!$C$3:$I$26,7,FALSE)),"-",VLOOKUP(C9,'Rennen 6'!$C$3:$I$26,7,FALSE))</f>
        <v>25</v>
      </c>
      <c r="K9" s="1">
        <f>IF(ISNA(VLOOKUP(C9,'Rennen 7'!$C$3:$I$26,7,FALSE)),"-",VLOOKUP(C9,'Rennen 7'!$C$3:$I$26,7,FALSE))</f>
        <v>25</v>
      </c>
      <c r="L9" s="1">
        <f>IF(ISNA(VLOOKUP(C9,'Rennen 8'!$C$3:$I$26,7,FALSE)),"-",VLOOKUP(C9,'Rennen 8'!$C$3:$I$26,7,FALSE))</f>
        <v>25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 t="str">
        <f>IF(ISNA(VLOOKUP(C9,'Rennen 11'!$C$3:$I$26,7,FALSE)),"-",VLOOKUP(C9,'Rennen 11'!$C$3:$I$26,7,FALSE))</f>
        <v>-</v>
      </c>
      <c r="P9" s="1" t="str">
        <f>IF(ISNA(VLOOKUP(C9,'Rennen 12'!$C$3:$I$26,7,FALSE)),"-",VLOOKUP(C9,'Rennen 12'!$C$3:$I$26,7,FALSE))</f>
        <v>-</v>
      </c>
      <c r="Q9" s="1" t="str">
        <f>IF(ISNA(VLOOKUP(C9,'Rennen 13'!$C$3:$I$26,7,FALSE)),"-",VLOOKUP(C9,'Rennen 13'!$C$3:$I$26,7,FALSE))</f>
        <v>-</v>
      </c>
      <c r="R9" s="1" t="str">
        <f>IF(ISNA(VLOOKUP(C9,'Rennen 14'!$C$3:$I$26,7,FALSE)),"-",VLOOKUP(C9,'Rennen 14'!$C$3:$I$26,7,FALSE))</f>
        <v>-</v>
      </c>
      <c r="S9" s="1" t="str">
        <f>IF(ISNA(VLOOKUP(C9,'Rennen 15'!$C$3:$I$26,7,FALSE)),"-",VLOOKUP(C9,'Rennen 15'!$C$3:$I$26,7,FALSE))</f>
        <v>-</v>
      </c>
      <c r="T9" s="1" t="str">
        <f>IF(ISNA(VLOOKUP(C9,'Rennen 16'!$C$3:$I$26,7,FALSE)),"-",VLOOKUP(C9,'Rennen 16'!$C$3:$I$26,7,FALSE))</f>
        <v>-</v>
      </c>
      <c r="U9" s="1" t="str">
        <f>IF(ISNA(VLOOKUP(C9,'Rennen 17'!$C$3:$I$26,7,FALSE)),"-",VLOOKUP(C9,'Rennen 17'!$C$3:$I$26,7,FALSE))</f>
        <v>-</v>
      </c>
      <c r="V9" s="1" t="str">
        <f>IF(ISNA(VLOOKUP(C9,'Rennen 18'!$C$3:$I$26,7,FALSE)),"-",VLOOKUP(C9,'Rennen 18'!$C$3:$I$26,7,FALSE))</f>
        <v>-</v>
      </c>
      <c r="W9" s="1" t="str">
        <f>IF(ISNA(VLOOKUP(C9,'Rennen 19'!$C$3:$I$26,7,FALSE)),"-",VLOOKUP(C9,'Rennen 19'!$C$3:$I$26,7,FALSE))</f>
        <v>-</v>
      </c>
      <c r="X9" s="1" t="str">
        <f>IF(ISNA(VLOOKUP(C9,'Rennen 20'!$C$3:$I$26,7,FALSE)),"-",VLOOKUP(C9,'Rennen 20'!$C$3:$I$26,7,FALSE))</f>
        <v>-</v>
      </c>
      <c r="Y9" s="1" t="str">
        <f>IF(ISNA(VLOOKUP(C9,'Rennen 21'!$C$3:$I$26,7,FALSE)),"-",VLOOKUP(C9,'Rennen 21'!$C$3:$I$26,7,FALSE))</f>
        <v>-</v>
      </c>
      <c r="Z9" s="1" t="str">
        <f>IF(ISNA(VLOOKUP(C9,'Rennen 22'!$C$3:$I$26,7,FALSE)),"-",VLOOKUP(C9,'Rennen 22'!$C$3:$I$26,7,FALSE))</f>
        <v>-</v>
      </c>
      <c r="AA9" s="1"/>
      <c r="AB9" s="1"/>
      <c r="AC9" s="1"/>
      <c r="AD9" s="1"/>
      <c r="AE9" s="1"/>
      <c r="AF9" s="1"/>
      <c r="AG9" s="1"/>
      <c r="AH9" s="1"/>
    </row>
    <row r="10" spans="1:34" x14ac:dyDescent="0.25">
      <c r="B10" s="12">
        <v>8</v>
      </c>
      <c r="C10" s="12" t="s">
        <v>62</v>
      </c>
      <c r="D10" s="12">
        <f>SUM(E10:AH10)</f>
        <v>121</v>
      </c>
      <c r="E10" s="1">
        <f>IF(ISNA(VLOOKUP(C10,'Rennen 1'!$C$3:$I$26,7,FALSE)),"-",VLOOKUP(C10,'Rennen 1'!$C$3:$I$26,7,FALSE))</f>
        <v>7</v>
      </c>
      <c r="F10" s="1">
        <f>IF(ISNA(VLOOKUP(C10,'Rennen 2'!$C$3:$I$26,7,FALSE)),"-",VLOOKUP(C10,'Rennen 2'!$C$3:$I$26,7,FALSE))</f>
        <v>8</v>
      </c>
      <c r="G10" s="1">
        <f>IF(ISNA(VLOOKUP(C10,'Rennen 3'!$C$3:$I$26,7,FALSE)),"-",VLOOKUP(C10,'Rennen 3'!$C$3:$I$26,7,FALSE))</f>
        <v>9</v>
      </c>
      <c r="H10" s="1">
        <f>IF(ISNA(VLOOKUP(C10,'Rennen 4'!$C$3:$I$26,7,FALSE)),"-",VLOOKUP(C10,'Rennen 4'!$C$3:$I$26,7,FALSE))</f>
        <v>9</v>
      </c>
      <c r="I10" s="1">
        <f>IF(ISNA(VLOOKUP(C10,'Rennen 5'!$C$3:$I$26,7,FALSE)),"-",VLOOKUP(C10,'Rennen 5'!$C$3:$I$26,7,FALSE))</f>
        <v>10</v>
      </c>
      <c r="J10" s="1">
        <f>IF(ISNA(VLOOKUP(C10,'Rennen 6'!$C$3:$I$26,7,FALSE)),"-",VLOOKUP(C10,'Rennen 6'!$C$3:$I$26,7,FALSE))</f>
        <v>8</v>
      </c>
      <c r="K10" s="1">
        <f>IF(ISNA(VLOOKUP(C10,'Rennen 7'!$C$3:$I$26,7,FALSE)),"-",VLOOKUP(C10,'Rennen 7'!$C$3:$I$26,7,FALSE))</f>
        <v>11</v>
      </c>
      <c r="L10" s="1">
        <f>IF(ISNA(VLOOKUP(C10,'Rennen 8'!$C$3:$I$26,7,FALSE)),"-",VLOOKUP(C10,'Rennen 8'!$C$3:$I$26,7,FALSE))</f>
        <v>8</v>
      </c>
      <c r="M10" s="1">
        <f>IF(ISNA(VLOOKUP(C10,'Rennen 9'!$C$3:$I$26,7,FALSE)),"-",VLOOKUP(C10,'Rennen 9'!$C$3:$I$26,7,FALSE))</f>
        <v>8</v>
      </c>
      <c r="N10" s="1">
        <f>IF(ISNA(VLOOKUP(C10,'Rennen 10'!$C$3:$I$26,7,FALSE)),"-",VLOOKUP(C10,'Rennen 10'!$C$3:$I$26,7,FALSE))</f>
        <v>7</v>
      </c>
      <c r="O10" s="1">
        <f>IF(ISNA(VLOOKUP(C10,'Rennen 11'!$C$3:$I$26,7,FALSE)),"-",VLOOKUP(C10,'Rennen 11'!$C$3:$I$26,7,FALSE))</f>
        <v>6</v>
      </c>
      <c r="P10" s="1">
        <f>IF(ISNA(VLOOKUP(C10,'Rennen 12'!$C$3:$I$26,7,FALSE)),"-",VLOOKUP(C10,'Rennen 12'!$C$3:$I$26,7,FALSE))</f>
        <v>7</v>
      </c>
      <c r="Q10" s="1">
        <f>IF(ISNA(VLOOKUP(C10,'Rennen 13'!$C$3:$I$26,7,FALSE)),"-",VLOOKUP(C10,'Rennen 13'!$C$3:$I$26,7,FALSE))</f>
        <v>13</v>
      </c>
      <c r="R10" s="1">
        <f>IF(ISNA(VLOOKUP(C10,'Rennen 14'!$C$3:$I$26,7,FALSE)),"-",VLOOKUP(C10,'Rennen 14'!$C$3:$I$26,7,FALSE))</f>
        <v>10</v>
      </c>
      <c r="S10" s="1" t="str">
        <f>IF(ISNA(VLOOKUP(C10,'Rennen 15'!$C$3:$I$26,7,FALSE)),"-",VLOOKUP(C10,'Rennen 15'!$C$3:$I$26,7,FALSE))</f>
        <v>-</v>
      </c>
      <c r="T10" s="1" t="str">
        <f>IF(ISNA(VLOOKUP(C10,'Rennen 16'!$C$3:$I$26,7,FALSE)),"-",VLOOKUP(C10,'Rennen 16'!$C$3:$I$26,7,FALSE))</f>
        <v>-</v>
      </c>
      <c r="U10" s="1" t="str">
        <f>IF(ISNA(VLOOKUP(C10,'Rennen 17'!$C$3:$I$26,7,FALSE)),"-",VLOOKUP(C10,'Rennen 17'!$C$3:$I$26,7,FALSE))</f>
        <v>-</v>
      </c>
      <c r="V10" s="1" t="str">
        <f>IF(ISNA(VLOOKUP(C10,'Rennen 18'!$C$3:$I$26,7,FALSE)),"-",VLOOKUP(C10,'Rennen 18'!$C$3:$I$26,7,FALSE))</f>
        <v>-</v>
      </c>
      <c r="W10" s="1" t="str">
        <f>IF(ISNA(VLOOKUP(C10,'Rennen 19'!$C$3:$I$26,7,FALSE)),"-",VLOOKUP(C10,'Rennen 19'!$C$3:$I$26,7,FALSE))</f>
        <v>-</v>
      </c>
      <c r="X10" s="1" t="str">
        <f>IF(ISNA(VLOOKUP(C10,'Rennen 20'!$C$3:$I$26,7,FALSE)),"-",VLOOKUP(C10,'Rennen 20'!$C$3:$I$26,7,FALSE))</f>
        <v>-</v>
      </c>
      <c r="Y10" s="1" t="str">
        <f>IF(ISNA(VLOOKUP(C10,'Rennen 21'!$C$3:$I$26,7,FALSE)),"-",VLOOKUP(C10,'Rennen 21'!$C$3:$I$26,7,FALSE))</f>
        <v>-</v>
      </c>
      <c r="Z10" s="1" t="str">
        <f>IF(ISNA(VLOOKUP(C10,'Rennen 22'!$C$3:$I$26,7,FALSE)),"-",VLOOKUP(C10,'Rennen 22'!$C$3:$I$26,7,FALSE))</f>
        <v>-</v>
      </c>
      <c r="AA10" s="1"/>
      <c r="AB10" s="1"/>
      <c r="AC10" s="1"/>
      <c r="AD10" s="1"/>
      <c r="AE10" s="1"/>
      <c r="AF10" s="1"/>
      <c r="AG10" s="1"/>
      <c r="AH10" s="1"/>
    </row>
    <row r="11" spans="1:34" x14ac:dyDescent="0.25">
      <c r="B11" s="12">
        <v>9</v>
      </c>
      <c r="C11" s="12" t="s">
        <v>61</v>
      </c>
      <c r="D11" s="12">
        <f>SUM(E11:AH11)</f>
        <v>118</v>
      </c>
      <c r="E11" s="1">
        <f>IF(ISNA(VLOOKUP(C11,'Rennen 1'!$C$3:$I$26,7,FALSE)),"-",VLOOKUP(C11,'Rennen 1'!$C$3:$I$26,7,FALSE))</f>
        <v>8</v>
      </c>
      <c r="F11" s="1">
        <f>IF(ISNA(VLOOKUP(C11,'Rennen 2'!$C$3:$I$26,7,FALSE)),"-",VLOOKUP(C11,'Rennen 2'!$C$3:$I$26,7,FALSE))</f>
        <v>5</v>
      </c>
      <c r="G11" s="1">
        <f>IF(ISNA(VLOOKUP(C11,'Rennen 3'!$C$3:$I$26,7,FALSE)),"-",VLOOKUP(C11,'Rennen 3'!$C$3:$I$26,7,FALSE))</f>
        <v>6</v>
      </c>
      <c r="H11" s="1">
        <f>IF(ISNA(VLOOKUP(C11,'Rennen 4'!$C$3:$I$26,7,FALSE)),"-",VLOOKUP(C11,'Rennen 4'!$C$3:$I$26,7,FALSE))</f>
        <v>6</v>
      </c>
      <c r="I11" s="1">
        <f>IF(ISNA(VLOOKUP(C11,'Rennen 5'!$C$3:$I$26,7,FALSE)),"-",VLOOKUP(C11,'Rennen 5'!$C$3:$I$26,7,FALSE))</f>
        <v>9</v>
      </c>
      <c r="J11" s="1">
        <f>IF(ISNA(VLOOKUP(C11,'Rennen 6'!$C$3:$I$26,7,FALSE)),"-",VLOOKUP(C11,'Rennen 6'!$C$3:$I$26,7,FALSE))</f>
        <v>10</v>
      </c>
      <c r="K11" s="1">
        <f>IF(ISNA(VLOOKUP(C11,'Rennen 7'!$C$3:$I$26,7,FALSE)),"-",VLOOKUP(C11,'Rennen 7'!$C$3:$I$26,7,FALSE))</f>
        <v>8</v>
      </c>
      <c r="L11" s="1">
        <f>IF(ISNA(VLOOKUP(C11,'Rennen 8'!$C$3:$I$26,7,FALSE)),"-",VLOOKUP(C11,'Rennen 8'!$C$3:$I$26,7,FALSE))</f>
        <v>16</v>
      </c>
      <c r="M11" s="1">
        <f>IF(ISNA(VLOOKUP(C11,'Rennen 9'!$C$3:$I$26,7,FALSE)),"-",VLOOKUP(C11,'Rennen 9'!$C$3:$I$26,7,FALSE))</f>
        <v>9</v>
      </c>
      <c r="N11" s="1">
        <f>IF(ISNA(VLOOKUP(C11,'Rennen 10'!$C$3:$I$26,7,FALSE)),"-",VLOOKUP(C11,'Rennen 10'!$C$3:$I$26,7,FALSE))</f>
        <v>9</v>
      </c>
      <c r="O11" s="1">
        <f>IF(ISNA(VLOOKUP(C11,'Rennen 11'!$C$3:$I$26,7,FALSE)),"-",VLOOKUP(C11,'Rennen 11'!$C$3:$I$26,7,FALSE))</f>
        <v>8</v>
      </c>
      <c r="P11" s="1">
        <f>IF(ISNA(VLOOKUP(C11,'Rennen 12'!$C$3:$I$26,7,FALSE)),"-",VLOOKUP(C11,'Rennen 12'!$C$3:$I$26,7,FALSE))</f>
        <v>10</v>
      </c>
      <c r="Q11" s="1">
        <f>IF(ISNA(VLOOKUP(C11,'Rennen 13'!$C$3:$I$26,7,FALSE)),"-",VLOOKUP(C11,'Rennen 13'!$C$3:$I$26,7,FALSE))</f>
        <v>7</v>
      </c>
      <c r="R11" s="1">
        <f>IF(ISNA(VLOOKUP(C11,'Rennen 14'!$C$3:$I$26,7,FALSE)),"-",VLOOKUP(C11,'Rennen 14'!$C$3:$I$26,7,FALSE))</f>
        <v>7</v>
      </c>
      <c r="S11" s="1" t="str">
        <f>IF(ISNA(VLOOKUP(C11,'Rennen 15'!$C$3:$I$26,7,FALSE)),"-",VLOOKUP(C11,'Rennen 15'!$C$3:$I$26,7,FALSE))</f>
        <v>-</v>
      </c>
      <c r="T11" s="1" t="str">
        <f>IF(ISNA(VLOOKUP(C11,'Rennen 16'!$C$3:$I$26,7,FALSE)),"-",VLOOKUP(C11,'Rennen 16'!$C$3:$I$26,7,FALSE))</f>
        <v>-</v>
      </c>
      <c r="U11" s="1" t="str">
        <f>IF(ISNA(VLOOKUP(C11,'Rennen 17'!$C$3:$I$26,7,FALSE)),"-",VLOOKUP(C11,'Rennen 17'!$C$3:$I$26,7,FALSE))</f>
        <v>-</v>
      </c>
      <c r="V11" s="1" t="str">
        <f>IF(ISNA(VLOOKUP(C11,'Rennen 18'!$C$3:$I$26,7,FALSE)),"-",VLOOKUP(C11,'Rennen 18'!$C$3:$I$26,7,FALSE))</f>
        <v>-</v>
      </c>
      <c r="W11" s="1" t="str">
        <f>IF(ISNA(VLOOKUP(C11,'Rennen 19'!$C$3:$I$26,7,FALSE)),"-",VLOOKUP(C11,'Rennen 19'!$C$3:$I$26,7,FALSE))</f>
        <v>-</v>
      </c>
      <c r="X11" s="1" t="str">
        <f>IF(ISNA(VLOOKUP(C11,'Rennen 20'!$C$3:$I$26,7,FALSE)),"-",VLOOKUP(C11,'Rennen 20'!$C$3:$I$26,7,FALSE))</f>
        <v>-</v>
      </c>
      <c r="Y11" s="1" t="str">
        <f>IF(ISNA(VLOOKUP(C11,'Rennen 21'!$C$3:$I$26,7,FALSE)),"-",VLOOKUP(C11,'Rennen 21'!$C$3:$I$26,7,FALSE))</f>
        <v>-</v>
      </c>
      <c r="Z11" s="1" t="str">
        <f>IF(ISNA(VLOOKUP(C11,'Rennen 22'!$C$3:$I$26,7,FALSE)),"-",VLOOKUP(C11,'Rennen 22'!$C$3:$I$26,7,FALSE))</f>
        <v>-</v>
      </c>
      <c r="AA11" s="1"/>
      <c r="AB11" s="1"/>
      <c r="AC11" s="1"/>
      <c r="AD11" s="1"/>
      <c r="AE11" s="1"/>
      <c r="AF11" s="1"/>
      <c r="AG11" s="1"/>
      <c r="AH11" s="1"/>
    </row>
    <row r="12" spans="1:34" x14ac:dyDescent="0.25">
      <c r="B12" s="12">
        <v>10</v>
      </c>
      <c r="C12" s="12" t="s">
        <v>183</v>
      </c>
      <c r="D12" s="12">
        <f>SUM(E12:AH12)</f>
        <v>85</v>
      </c>
      <c r="E12" s="1" t="str">
        <f>IF(ISNA(VLOOKUP(C12,'Rennen 1'!$C$3:$I$26,7,FALSE)),"-",VLOOKUP(C12,'Rennen 1'!$C$3:$I$26,7,FALSE))</f>
        <v>-</v>
      </c>
      <c r="F12" s="1" t="str">
        <f>IF(ISNA(VLOOKUP(C12,'Rennen 2'!$C$3:$I$26,7,FALSE)),"-",VLOOKUP(C12,'Rennen 2'!$C$3:$I$26,7,FALSE))</f>
        <v>-</v>
      </c>
      <c r="G12" s="1" t="str">
        <f>IF(ISNA(VLOOKUP(C12,'Rennen 3'!$C$3:$I$26,7,FALSE)),"-",VLOOKUP(C12,'Rennen 3'!$C$3:$I$26,7,FALSE))</f>
        <v>-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>
        <f>IF(ISNA(VLOOKUP(C12,'Rennen 11'!$C$3:$I$26,7,FALSE)),"-",VLOOKUP(C12,'Rennen 11'!$C$3:$I$26,7,FALSE))</f>
        <v>7</v>
      </c>
      <c r="P12" s="1">
        <f>IF(ISNA(VLOOKUP(C12,'Rennen 12'!$C$3:$I$26,7,FALSE)),"-",VLOOKUP(C12,'Rennen 12'!$C$3:$I$26,7,FALSE))</f>
        <v>9</v>
      </c>
      <c r="Q12" s="1">
        <f>IF(ISNA(VLOOKUP(C12,'Rennen 13'!$C$3:$I$26,7,FALSE)),"-",VLOOKUP(C12,'Rennen 13'!$C$3:$I$26,7,FALSE))</f>
        <v>8</v>
      </c>
      <c r="R12" s="1">
        <f>IF(ISNA(VLOOKUP(C12,'Rennen 14'!$C$3:$I$26,7,FALSE)),"-",VLOOKUP(C12,'Rennen 14'!$C$3:$I$26,7,FALSE))</f>
        <v>8</v>
      </c>
      <c r="S12" s="1">
        <f>IF(ISNA(VLOOKUP(C12,'Rennen 15'!$C$3:$I$26,7,FALSE)),"-",VLOOKUP(C12,'Rennen 15'!$C$3:$I$26,7,FALSE))</f>
        <v>13</v>
      </c>
      <c r="T12" s="1">
        <f>IF(ISNA(VLOOKUP(C12,'Rennen 16'!$C$3:$I$26,7,FALSE)),"-",VLOOKUP(C12,'Rennen 16'!$C$3:$I$26,7,FALSE))</f>
        <v>20</v>
      </c>
      <c r="U12" s="1">
        <f>IF(ISNA(VLOOKUP(C12,'Rennen 17'!$C$3:$I$26,7,FALSE)),"-",VLOOKUP(C12,'Rennen 17'!$C$3:$I$26,7,FALSE))</f>
        <v>10</v>
      </c>
      <c r="V12" s="1">
        <f>IF(ISNA(VLOOKUP(C12,'Rennen 18'!$C$3:$I$26,7,FALSE)),"-",VLOOKUP(C12,'Rennen 18'!$C$3:$I$26,7,FALSE))</f>
        <v>10</v>
      </c>
      <c r="W12" s="1" t="str">
        <f>IF(ISNA(VLOOKUP(C12,'Rennen 19'!$C$3:$I$26,7,FALSE)),"-",VLOOKUP(C12,'Rennen 19'!$C$3:$I$26,7,FALSE))</f>
        <v>-</v>
      </c>
      <c r="X12" s="1" t="str">
        <f>IF(ISNA(VLOOKUP(C12,'Rennen 20'!$C$3:$I$26,7,FALSE)),"-",VLOOKUP(C12,'Rennen 20'!$C$3:$I$26,7,FALSE))</f>
        <v>-</v>
      </c>
      <c r="Y12" s="1" t="str">
        <f>IF(ISNA(VLOOKUP(C12,'Rennen 21'!$C$3:$I$26,7,FALSE)),"-",VLOOKUP(C12,'Rennen 21'!$C$3:$I$26,7,FALSE))</f>
        <v>-</v>
      </c>
      <c r="Z12" s="1" t="str">
        <f>IF(ISNA(VLOOKUP(C12,'Rennen 22'!$C$3:$I$26,7,FALSE)),"-",VLOOKUP(C12,'Rennen 22'!$C$3:$I$26,7,FALSE))</f>
        <v>-</v>
      </c>
      <c r="AA12" s="1"/>
      <c r="AB12" s="1"/>
      <c r="AC12" s="1"/>
      <c r="AD12" s="1"/>
      <c r="AE12" s="1"/>
      <c r="AF12" s="1"/>
      <c r="AG12" s="1"/>
      <c r="AH12" s="1"/>
    </row>
    <row r="13" spans="1:34" x14ac:dyDescent="0.25">
      <c r="B13" s="12">
        <v>11</v>
      </c>
      <c r="C13" s="12" t="s">
        <v>59</v>
      </c>
      <c r="D13" s="12">
        <f>SUM(E13:AH13)</f>
        <v>84</v>
      </c>
      <c r="E13" s="1">
        <f>IF(ISNA(VLOOKUP(C13,'Rennen 1'!$C$3:$I$26,7,FALSE)),"-",VLOOKUP(C13,'Rennen 1'!$C$3:$I$26,7,FALSE))</f>
        <v>10</v>
      </c>
      <c r="F13" s="1">
        <f>IF(ISNA(VLOOKUP(C13,'Rennen 2'!$C$3:$I$26,7,FALSE)),"-",VLOOKUP(C13,'Rennen 2'!$C$3:$I$26,7,FALSE))</f>
        <v>9</v>
      </c>
      <c r="G13" s="1">
        <f>IF(ISNA(VLOOKUP(C13,'Rennen 3'!$C$3:$I$26,7,FALSE)),"-",VLOOKUP(C13,'Rennen 3'!$C$3:$I$26,7,FALSE))</f>
        <v>10</v>
      </c>
      <c r="H13" s="1">
        <f>IF(ISNA(VLOOKUP(C13,'Rennen 4'!$C$3:$I$26,7,FALSE)),"-",VLOOKUP(C13,'Rennen 4'!$C$3:$I$26,7,FALSE))</f>
        <v>10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>
        <f>IF(ISNA(VLOOKUP(C13,'Rennen 7'!$C$3:$I$26,7,FALSE)),"-",VLOOKUP(C13,'Rennen 7'!$C$3:$I$26,7,FALSE))</f>
        <v>7</v>
      </c>
      <c r="L13" s="1">
        <f>IF(ISNA(VLOOKUP(C13,'Rennen 8'!$C$3:$I$26,7,FALSE)),"-",VLOOKUP(C13,'Rennen 8'!$C$3:$I$26,7,FALSE))</f>
        <v>20</v>
      </c>
      <c r="M13" s="1">
        <f>IF(ISNA(VLOOKUP(C13,'Rennen 9'!$C$3:$I$26,7,FALSE)),"-",VLOOKUP(C13,'Rennen 9'!$C$3:$I$26,7,FALSE))</f>
        <v>10</v>
      </c>
      <c r="N13" s="1">
        <f>IF(ISNA(VLOOKUP(C13,'Rennen 10'!$C$3:$I$26,7,FALSE)),"-",VLOOKUP(C13,'Rennen 10'!$C$3:$I$26,7,FALSE))</f>
        <v>8</v>
      </c>
      <c r="O13" s="1" t="str">
        <f>IF(ISNA(VLOOKUP(C13,'Rennen 11'!$C$3:$I$26,7,FALSE)),"-",VLOOKUP(C13,'Rennen 11'!$C$3:$I$26,7,FALSE))</f>
        <v>-</v>
      </c>
      <c r="P13" s="1" t="str">
        <f>IF(ISNA(VLOOKUP(C13,'Rennen 12'!$C$3:$I$26,7,FALSE)),"-",VLOOKUP(C13,'Rennen 12'!$C$3:$I$26,7,FALSE))</f>
        <v>-</v>
      </c>
      <c r="Q13" s="1" t="str">
        <f>IF(ISNA(VLOOKUP(C13,'Rennen 13'!$C$3:$I$26,7,FALSE)),"-",VLOOKUP(C13,'Rennen 13'!$C$3:$I$26,7,FALSE))</f>
        <v>-</v>
      </c>
      <c r="R13" s="1" t="str">
        <f>IF(ISNA(VLOOKUP(C13,'Rennen 14'!$C$3:$I$26,7,FALSE)),"-",VLOOKUP(C13,'Rennen 14'!$C$3:$I$26,7,FALSE))</f>
        <v>-</v>
      </c>
      <c r="S13" s="1" t="str">
        <f>IF(ISNA(VLOOKUP(C13,'Rennen 15'!$C$3:$I$26,7,FALSE)),"-",VLOOKUP(C13,'Rennen 15'!$C$3:$I$26,7,FALSE))</f>
        <v>-</v>
      </c>
      <c r="T13" s="1" t="str">
        <f>IF(ISNA(VLOOKUP(C13,'Rennen 16'!$C$3:$I$26,7,FALSE)),"-",VLOOKUP(C13,'Rennen 16'!$C$3:$I$26,7,FALSE))</f>
        <v>-</v>
      </c>
      <c r="U13" s="1" t="str">
        <f>IF(ISNA(VLOOKUP(C13,'Rennen 17'!$C$3:$I$26,7,FALSE)),"-",VLOOKUP(C13,'Rennen 17'!$C$3:$I$26,7,FALSE))</f>
        <v>-</v>
      </c>
      <c r="V13" s="1" t="str">
        <f>IF(ISNA(VLOOKUP(C13,'Rennen 18'!$C$3:$I$26,7,FALSE)),"-",VLOOKUP(C13,'Rennen 18'!$C$3:$I$26,7,FALSE))</f>
        <v>-</v>
      </c>
      <c r="W13" s="1" t="str">
        <f>IF(ISNA(VLOOKUP(C13,'Rennen 19'!$C$3:$I$26,7,FALSE)),"-",VLOOKUP(C13,'Rennen 19'!$C$3:$I$26,7,FALSE))</f>
        <v>-</v>
      </c>
      <c r="X13" s="1" t="str">
        <f>IF(ISNA(VLOOKUP(C13,'Rennen 20'!$C$3:$I$26,7,FALSE)),"-",VLOOKUP(C13,'Rennen 20'!$C$3:$I$26,7,FALSE))</f>
        <v>-</v>
      </c>
      <c r="Y13" s="1" t="str">
        <f>IF(ISNA(VLOOKUP(C13,'Rennen 21'!$C$3:$I$26,7,FALSE)),"-",VLOOKUP(C13,'Rennen 21'!$C$3:$I$26,7,FALSE))</f>
        <v>-</v>
      </c>
      <c r="Z13" s="1" t="str">
        <f>IF(ISNA(VLOOKUP(C13,'Rennen 22'!$C$3:$I$26,7,FALSE)),"-",VLOOKUP(C13,'Rennen 22'!$C$3:$I$26,7,FALSE))</f>
        <v>-</v>
      </c>
      <c r="AA13" s="1"/>
      <c r="AB13" s="1"/>
      <c r="AC13" s="1"/>
      <c r="AD13" s="1"/>
      <c r="AE13" s="1"/>
      <c r="AF13" s="1"/>
      <c r="AG13" s="1"/>
      <c r="AH13" s="1"/>
    </row>
    <row r="14" spans="1:34" x14ac:dyDescent="0.25">
      <c r="B14" s="12">
        <v>12</v>
      </c>
      <c r="C14" s="12" t="s">
        <v>60</v>
      </c>
      <c r="D14" s="12">
        <f>SUM(E14:AH14)</f>
        <v>81</v>
      </c>
      <c r="E14" s="1">
        <f>IF(ISNA(VLOOKUP(C14,'Rennen 1'!$C$3:$I$26,7,FALSE)),"-",VLOOKUP(C14,'Rennen 1'!$C$3:$I$26,7,FALSE))</f>
        <v>9</v>
      </c>
      <c r="F14" s="1">
        <f>IF(ISNA(VLOOKUP(C14,'Rennen 2'!$C$3:$I$26,7,FALSE)),"-",VLOOKUP(C14,'Rennen 2'!$C$3:$I$26,7,FALSE))</f>
        <v>6</v>
      </c>
      <c r="G14" s="1">
        <f>IF(ISNA(VLOOKUP(C14,'Rennen 3'!$C$3:$I$26,7,FALSE)),"-",VLOOKUP(C14,'Rennen 3'!$C$3:$I$26,7,FALSE))</f>
        <v>5</v>
      </c>
      <c r="H14" s="1">
        <f>IF(ISNA(VLOOKUP(C14,'Rennen 4'!$C$3:$I$26,7,FALSE)),"-",VLOOKUP(C14,'Rennen 4'!$C$3:$I$26,7,FALSE))</f>
        <v>5</v>
      </c>
      <c r="I14" s="1">
        <f>IF(ISNA(VLOOKUP(C14,'Rennen 5'!$C$3:$I$26,7,FALSE)),"-",VLOOKUP(C14,'Rennen 5'!$C$3:$I$26,7,FALSE))</f>
        <v>7</v>
      </c>
      <c r="J14" s="1">
        <f>IF(ISNA(VLOOKUP(C14,'Rennen 6'!$C$3:$I$26,7,FALSE)),"-",VLOOKUP(C14,'Rennen 6'!$C$3:$I$26,7,FALSE))</f>
        <v>7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>
        <f>IF(ISNA(VLOOKUP(C14,'Rennen 11'!$C$3:$I$26,7,FALSE)),"-",VLOOKUP(C14,'Rennen 11'!$C$3:$I$26,7,FALSE))</f>
        <v>10</v>
      </c>
      <c r="P14" s="1">
        <f>IF(ISNA(VLOOKUP(C14,'Rennen 12'!$C$3:$I$26,7,FALSE)),"-",VLOOKUP(C14,'Rennen 12'!$C$3:$I$26,7,FALSE))</f>
        <v>8</v>
      </c>
      <c r="Q14" s="1" t="str">
        <f>IF(ISNA(VLOOKUP(C14,'Rennen 13'!$C$3:$I$26,7,FALSE)),"-",VLOOKUP(C14,'Rennen 13'!$C$3:$I$26,7,FALSE))</f>
        <v>-</v>
      </c>
      <c r="R14" s="1" t="str">
        <f>IF(ISNA(VLOOKUP(C14,'Rennen 14'!$C$3:$I$26,7,FALSE)),"-",VLOOKUP(C14,'Rennen 14'!$C$3:$I$26,7,FALSE))</f>
        <v>-</v>
      </c>
      <c r="S14" s="1">
        <f>IF(ISNA(VLOOKUP(C14,'Rennen 15'!$C$3:$I$26,7,FALSE)),"-",VLOOKUP(C14,'Rennen 15'!$C$3:$I$26,7,FALSE))</f>
        <v>11</v>
      </c>
      <c r="T14" s="1">
        <f>IF(ISNA(VLOOKUP(C14,'Rennen 16'!$C$3:$I$26,7,FALSE)),"-",VLOOKUP(C14,'Rennen 16'!$C$3:$I$26,7,FALSE))</f>
        <v>13</v>
      </c>
      <c r="U14" s="1" t="str">
        <f>IF(ISNA(VLOOKUP(C14,'Rennen 17'!$C$3:$I$26,7,FALSE)),"-",VLOOKUP(C14,'Rennen 17'!$C$3:$I$26,7,FALSE))</f>
        <v>-</v>
      </c>
      <c r="V14" s="1" t="str">
        <f>IF(ISNA(VLOOKUP(C14,'Rennen 18'!$C$3:$I$26,7,FALSE)),"-",VLOOKUP(C14,'Rennen 18'!$C$3:$I$26,7,FALSE))</f>
        <v>-</v>
      </c>
      <c r="W14" s="1" t="str">
        <f>IF(ISNA(VLOOKUP(C14,'Rennen 19'!$C$3:$I$26,7,FALSE)),"-",VLOOKUP(C14,'Rennen 19'!$C$3:$I$26,7,FALSE))</f>
        <v>-</v>
      </c>
      <c r="X14" s="1" t="str">
        <f>IF(ISNA(VLOOKUP(C14,'Rennen 20'!$C$3:$I$26,7,FALSE)),"-",VLOOKUP(C14,'Rennen 20'!$C$3:$I$26,7,FALSE))</f>
        <v>-</v>
      </c>
      <c r="Y14" s="1" t="str">
        <f>IF(ISNA(VLOOKUP(C14,'Rennen 21'!$C$3:$I$26,7,FALSE)),"-",VLOOKUP(C14,'Rennen 21'!$C$3:$I$26,7,FALSE))</f>
        <v>-</v>
      </c>
      <c r="Z14" s="1" t="str">
        <f>IF(ISNA(VLOOKUP(C14,'Rennen 22'!$C$3:$I$26,7,FALSE)),"-",VLOOKUP(C14,'Rennen 22'!$C$3:$I$26,7,FALSE))</f>
        <v>-</v>
      </c>
      <c r="AA14" s="1"/>
      <c r="AB14" s="1"/>
      <c r="AC14" s="1"/>
      <c r="AD14" s="1"/>
      <c r="AE14" s="1"/>
      <c r="AF14" s="1"/>
      <c r="AG14" s="1"/>
      <c r="AH14" s="1"/>
    </row>
    <row r="15" spans="1:34" x14ac:dyDescent="0.25">
      <c r="B15" s="12">
        <v>13</v>
      </c>
      <c r="C15" s="12" t="s">
        <v>197</v>
      </c>
      <c r="D15" s="12">
        <f>SUM(E15:AH15)</f>
        <v>33</v>
      </c>
      <c r="E15" s="1" t="str">
        <f>IF(ISNA(VLOOKUP(C15,'Rennen 1'!$C$3:$I$26,7,FALSE)),"-",VLOOKUP(C15,'Rennen 1'!$C$3:$I$26,7,FALSE))</f>
        <v>-</v>
      </c>
      <c r="F15" s="1" t="str">
        <f>IF(ISNA(VLOOKUP(C15,'Rennen 2'!$C$3:$I$26,7,FALSE)),"-",VLOOKUP(C15,'Rennen 2'!$C$3:$I$26,7,FALSE))</f>
        <v>-</v>
      </c>
      <c r="G15" s="1" t="str">
        <f>IF(ISNA(VLOOKUP(C15,'Rennen 3'!$C$3:$I$26,7,FALSE)),"-",VLOOKUP(C15,'Rennen 3'!$C$3:$I$26,7,FALSE))</f>
        <v>-</v>
      </c>
      <c r="H15" s="1" t="str">
        <f>IF(ISNA(VLOOKUP(C15,'Rennen 4'!$C$3:$I$26,7,FALSE)),"-",VLOOKUP(C15,'Rennen 4'!$C$3:$I$26,7,FALSE))</f>
        <v>-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 t="str">
        <f>IF(ISNA(VLOOKUP(C15,'Rennen 11'!$C$3:$I$26,7,FALSE)),"-",VLOOKUP(C15,'Rennen 11'!$C$3:$I$26,7,FALSE))</f>
        <v>-</v>
      </c>
      <c r="P15" s="1" t="str">
        <f>IF(ISNA(VLOOKUP(C15,'Rennen 12'!$C$3:$I$26,7,FALSE)),"-",VLOOKUP(C15,'Rennen 12'!$C$3:$I$26,7,FALSE))</f>
        <v>-</v>
      </c>
      <c r="Q15" s="1" t="str">
        <f>IF(ISNA(VLOOKUP(C15,'Rennen 13'!$C$3:$I$26,7,FALSE)),"-",VLOOKUP(C15,'Rennen 13'!$C$3:$I$26,7,FALSE))</f>
        <v>-</v>
      </c>
      <c r="R15" s="1" t="str">
        <f>IF(ISNA(VLOOKUP(C15,'Rennen 14'!$C$3:$I$26,7,FALSE)),"-",VLOOKUP(C15,'Rennen 14'!$C$3:$I$26,7,FALSE))</f>
        <v>-</v>
      </c>
      <c r="S15" s="1" t="str">
        <f>IF(ISNA(VLOOKUP(C15,'Rennen 15'!$C$3:$I$26,7,FALSE)),"-",VLOOKUP(C15,'Rennen 15'!$C$3:$I$26,7,FALSE))</f>
        <v>-</v>
      </c>
      <c r="T15" s="1" t="str">
        <f>IF(ISNA(VLOOKUP(C15,'Rennen 16'!$C$3:$I$26,7,FALSE)),"-",VLOOKUP(C15,'Rennen 16'!$C$3:$I$26,7,FALSE))</f>
        <v>-</v>
      </c>
      <c r="U15" s="1">
        <f>IF(ISNA(VLOOKUP(C15,'Rennen 17'!$C$3:$I$26,7,FALSE)),"-",VLOOKUP(C15,'Rennen 17'!$C$3:$I$26,7,FALSE))</f>
        <v>8</v>
      </c>
      <c r="V15" s="1">
        <f>IF(ISNA(VLOOKUP(C15,'Rennen 18'!$C$3:$I$26,7,FALSE)),"-",VLOOKUP(C15,'Rennen 18'!$C$3:$I$26,7,FALSE))</f>
        <v>25</v>
      </c>
      <c r="W15" s="1" t="str">
        <f>IF(ISNA(VLOOKUP(C15,'Rennen 19'!$C$3:$I$26,7,FALSE)),"-",VLOOKUP(C15,'Rennen 19'!$C$3:$I$26,7,FALSE))</f>
        <v>-</v>
      </c>
      <c r="X15" s="1" t="str">
        <f>IF(ISNA(VLOOKUP(C15,'Rennen 20'!$C$3:$I$26,7,FALSE)),"-",VLOOKUP(C15,'Rennen 20'!$C$3:$I$26,7,FALSE))</f>
        <v>-</v>
      </c>
      <c r="Y15" s="1" t="str">
        <f>IF(ISNA(VLOOKUP(C15,'Rennen 21'!$C$3:$I$26,7,FALSE)),"-",VLOOKUP(C15,'Rennen 21'!$C$3:$I$26,7,FALSE))</f>
        <v>-</v>
      </c>
      <c r="Z15" s="1" t="str">
        <f>IF(ISNA(VLOOKUP(C15,'Rennen 22'!$C$3:$I$26,7,FALSE)),"-",VLOOKUP(C15,'Rennen 22'!$C$3:$I$26,7,FALSE))</f>
        <v>-</v>
      </c>
      <c r="AA15" s="1"/>
      <c r="AB15" s="1"/>
      <c r="AC15" s="1"/>
      <c r="AD15" s="1"/>
      <c r="AE15" s="1"/>
      <c r="AF15" s="1"/>
      <c r="AG15" s="1"/>
      <c r="AH15" s="1"/>
    </row>
    <row r="16" spans="1:34" x14ac:dyDescent="0.25">
      <c r="B16" s="12">
        <v>14</v>
      </c>
      <c r="C16" s="12" t="s">
        <v>64</v>
      </c>
      <c r="D16" s="12">
        <f>SUM(E16:AH16)</f>
        <v>27</v>
      </c>
      <c r="E16" s="1">
        <f>IF(ISNA(VLOOKUP(C16,'Rennen 1'!$C$3:$I$26,7,FALSE)),"-",VLOOKUP(C16,'Rennen 1'!$C$3:$I$26,7,FALSE))</f>
        <v>5</v>
      </c>
      <c r="F16" s="1">
        <f>IF(ISNA(VLOOKUP(C16,'Rennen 2'!$C$3:$I$26,7,FALSE)),"-",VLOOKUP(C16,'Rennen 2'!$C$3:$I$26,7,FALSE))</f>
        <v>7</v>
      </c>
      <c r="G16" s="1">
        <f>IF(ISNA(VLOOKUP(C16,'Rennen 3'!$C$3:$I$26,7,FALSE)),"-",VLOOKUP(C16,'Rennen 3'!$C$3:$I$26,7,FALSE))</f>
        <v>8</v>
      </c>
      <c r="H16" s="1">
        <f>IF(ISNA(VLOOKUP(C16,'Rennen 4'!$C$3:$I$26,7,FALSE)),"-",VLOOKUP(C16,'Rennen 4'!$C$3:$I$26,7,FALSE))</f>
        <v>7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 t="str">
        <f>IF(ISNA(VLOOKUP(C16,'Rennen 11'!$C$3:$I$26,7,FALSE)),"-",VLOOKUP(C16,'Rennen 11'!$C$3:$I$26,7,FALSE))</f>
        <v>-</v>
      </c>
      <c r="P16" s="1" t="str">
        <f>IF(ISNA(VLOOKUP(C16,'Rennen 12'!$C$3:$I$26,7,FALSE)),"-",VLOOKUP(C16,'Rennen 12'!$C$3:$I$26,7,FALSE))</f>
        <v>-</v>
      </c>
      <c r="Q16" s="1" t="str">
        <f>IF(ISNA(VLOOKUP(C16,'Rennen 13'!$C$3:$I$26,7,FALSE)),"-",VLOOKUP(C16,'Rennen 13'!$C$3:$I$26,7,FALSE))</f>
        <v>-</v>
      </c>
      <c r="R16" s="1" t="str">
        <f>IF(ISNA(VLOOKUP(C16,'Rennen 14'!$C$3:$I$26,7,FALSE)),"-",VLOOKUP(C16,'Rennen 14'!$C$3:$I$26,7,FALSE))</f>
        <v>-</v>
      </c>
      <c r="S16" s="1" t="str">
        <f>IF(ISNA(VLOOKUP(C16,'Rennen 15'!$C$3:$I$26,7,FALSE)),"-",VLOOKUP(C16,'Rennen 15'!$C$3:$I$26,7,FALSE))</f>
        <v>-</v>
      </c>
      <c r="T16" s="1" t="str">
        <f>IF(ISNA(VLOOKUP(C16,'Rennen 16'!$C$3:$I$26,7,FALSE)),"-",VLOOKUP(C16,'Rennen 16'!$C$3:$I$26,7,FALSE))</f>
        <v>-</v>
      </c>
      <c r="U16" s="1" t="str">
        <f>IF(ISNA(VLOOKUP(C16,'Rennen 17'!$C$3:$I$26,7,FALSE)),"-",VLOOKUP(C16,'Rennen 17'!$C$3:$I$26,7,FALSE))</f>
        <v>-</v>
      </c>
      <c r="V16" s="1" t="str">
        <f>IF(ISNA(VLOOKUP(C16,'Rennen 18'!$C$3:$I$26,7,FALSE)),"-",VLOOKUP(C16,'Rennen 18'!$C$3:$I$26,7,FALSE))</f>
        <v>-</v>
      </c>
      <c r="W16" s="1" t="str">
        <f>IF(ISNA(VLOOKUP(C16,'Rennen 19'!$C$3:$I$26,7,FALSE)),"-",VLOOKUP(C16,'Rennen 19'!$C$3:$I$26,7,FALSE))</f>
        <v>-</v>
      </c>
      <c r="X16" s="1" t="str">
        <f>IF(ISNA(VLOOKUP(C16,'Rennen 20'!$C$3:$I$26,7,FALSE)),"-",VLOOKUP(C16,'Rennen 20'!$C$3:$I$26,7,FALSE))</f>
        <v>-</v>
      </c>
      <c r="Y16" s="1" t="str">
        <f>IF(ISNA(VLOOKUP(C16,'Rennen 21'!$C$3:$I$26,7,FALSE)),"-",VLOOKUP(C16,'Rennen 21'!$C$3:$I$26,7,FALSE))</f>
        <v>-</v>
      </c>
      <c r="Z16" s="1" t="str">
        <f>IF(ISNA(VLOOKUP(C16,'Rennen 22'!$C$3:$I$26,7,FALSE)),"-",VLOOKUP(C16,'Rennen 22'!$C$3:$I$26,7,FALSE))</f>
        <v>-</v>
      </c>
      <c r="AA16" s="1"/>
      <c r="AB16" s="1"/>
      <c r="AC16" s="1"/>
      <c r="AD16" s="1"/>
      <c r="AE16" s="1"/>
      <c r="AF16" s="1"/>
      <c r="AG16" s="1"/>
      <c r="AH16" s="1"/>
    </row>
    <row r="17" spans="2:34" x14ac:dyDescent="0.25">
      <c r="B17" s="12">
        <v>15</v>
      </c>
      <c r="C17" s="12" t="s">
        <v>84</v>
      </c>
      <c r="D17" s="12">
        <f>SUM(E17:AH17)</f>
        <v>15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7</v>
      </c>
      <c r="H17" s="1">
        <f>IF(ISNA(VLOOKUP(C17,'Rennen 4'!$C$3:$I$26,7,FALSE)),"-",VLOOKUP(C17,'Rennen 4'!$C$3:$I$26,7,FALSE))</f>
        <v>8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 t="str">
        <f>IF(ISNA(VLOOKUP(C17,'Rennen 11'!$C$3:$I$26,7,FALSE)),"-",VLOOKUP(C17,'Rennen 11'!$C$3:$I$26,7,FALSE))</f>
        <v>-</v>
      </c>
      <c r="P17" s="1" t="str">
        <f>IF(ISNA(VLOOKUP(C17,'Rennen 12'!$C$3:$I$26,7,FALSE)),"-",VLOOKUP(C17,'Rennen 12'!$C$3:$I$26,7,FALSE))</f>
        <v>-</v>
      </c>
      <c r="Q17" s="1" t="str">
        <f>IF(ISNA(VLOOKUP(C17,'Rennen 13'!$C$3:$I$26,7,FALSE)),"-",VLOOKUP(C17,'Rennen 13'!$C$3:$I$26,7,FALSE))</f>
        <v>-</v>
      </c>
      <c r="R17" s="1" t="str">
        <f>IF(ISNA(VLOOKUP(C17,'Rennen 14'!$C$3:$I$26,7,FALSE)),"-",VLOOKUP(C17,'Rennen 14'!$C$3:$I$26,7,FALSE))</f>
        <v>-</v>
      </c>
      <c r="S17" s="1" t="str">
        <f>IF(ISNA(VLOOKUP(C17,'Rennen 15'!$C$3:$I$26,7,FALSE)),"-",VLOOKUP(C17,'Rennen 15'!$C$3:$I$26,7,FALSE))</f>
        <v>-</v>
      </c>
      <c r="T17" s="1" t="str">
        <f>IF(ISNA(VLOOKUP(C17,'Rennen 16'!$C$3:$I$26,7,FALSE)),"-",VLOOKUP(C17,'Rennen 16'!$C$3:$I$26,7,FALSE))</f>
        <v>-</v>
      </c>
      <c r="U17" s="1" t="str">
        <f>IF(ISNA(VLOOKUP(C17,'Rennen 17'!$C$3:$I$26,7,FALSE)),"-",VLOOKUP(C17,'Rennen 17'!$C$3:$I$26,7,FALSE))</f>
        <v>-</v>
      </c>
      <c r="V17" s="1" t="str">
        <f>IF(ISNA(VLOOKUP(C17,'Rennen 18'!$C$3:$I$26,7,FALSE)),"-",VLOOKUP(C17,'Rennen 18'!$C$3:$I$26,7,FALSE))</f>
        <v>-</v>
      </c>
      <c r="W17" s="1" t="str">
        <f>IF(ISNA(VLOOKUP(C17,'Rennen 19'!$C$3:$I$26,7,FALSE)),"-",VLOOKUP(C17,'Rennen 19'!$C$3:$I$26,7,FALSE))</f>
        <v>-</v>
      </c>
      <c r="X17" s="1" t="str">
        <f>IF(ISNA(VLOOKUP(C17,'Rennen 20'!$C$3:$I$26,7,FALSE)),"-",VLOOKUP(C17,'Rennen 20'!$C$3:$I$26,7,FALSE))</f>
        <v>-</v>
      </c>
      <c r="Y17" s="1" t="str">
        <f>IF(ISNA(VLOOKUP(C17,'Rennen 21'!$C$3:$I$26,7,FALSE)),"-",VLOOKUP(C17,'Rennen 21'!$C$3:$I$26,7,FALSE))</f>
        <v>-</v>
      </c>
      <c r="Z17" s="1" t="str">
        <f>IF(ISNA(VLOOKUP(C17,'Rennen 22'!$C$3:$I$26,7,FALSE)),"-",VLOOKUP(C17,'Rennen 22'!$C$3:$I$26,7,FALSE))</f>
        <v>-</v>
      </c>
      <c r="AA17" s="1"/>
      <c r="AB17" s="1"/>
      <c r="AC17" s="1"/>
      <c r="AD17" s="1"/>
      <c r="AE17" s="1"/>
      <c r="AF17" s="1"/>
      <c r="AG17" s="1"/>
      <c r="AH17" s="1"/>
    </row>
    <row r="18" spans="2:34" x14ac:dyDescent="0.25">
      <c r="B18" s="12">
        <v>16</v>
      </c>
      <c r="C18" s="12" t="s">
        <v>65</v>
      </c>
      <c r="D18" s="12">
        <f>SUM(E18:AH18)</f>
        <v>14</v>
      </c>
      <c r="E18" s="1">
        <f>IF(ISNA(VLOOKUP(C18,'Rennen 1'!$C$3:$I$26,7,FALSE)),"-",VLOOKUP(C18,'Rennen 1'!$C$3:$I$26,7,FALSE))</f>
        <v>4</v>
      </c>
      <c r="F18" s="1">
        <f>IF(ISNA(VLOOKUP(C18,'Rennen 2'!$C$3:$I$26,7,FALSE)),"-",VLOOKUP(C18,'Rennen 2'!$C$3:$I$26,7,FALSE))</f>
        <v>10</v>
      </c>
      <c r="G18" s="1" t="str">
        <f>IF(ISNA(VLOOKUP(C18,'Rennen 3'!$C$3:$I$26,7,FALSE)),"-",VLOOKUP(C18,'Rennen 3'!$C$3:$I$26,7,FALSE))</f>
        <v>-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  <c r="O18" s="1" t="str">
        <f>IF(ISNA(VLOOKUP(C18,'Rennen 11'!$C$3:$I$26,7,FALSE)),"-",VLOOKUP(C18,'Rennen 11'!$C$3:$I$26,7,FALSE))</f>
        <v>-</v>
      </c>
      <c r="P18" s="1" t="str">
        <f>IF(ISNA(VLOOKUP(C18,'Rennen 12'!$C$3:$I$26,7,FALSE)),"-",VLOOKUP(C18,'Rennen 12'!$C$3:$I$26,7,FALSE))</f>
        <v>-</v>
      </c>
      <c r="Q18" s="1" t="str">
        <f>IF(ISNA(VLOOKUP(C18,'Rennen 13'!$C$3:$I$26,7,FALSE)),"-",VLOOKUP(C18,'Rennen 13'!$C$3:$I$26,7,FALSE))</f>
        <v>-</v>
      </c>
      <c r="R18" s="1" t="str">
        <f>IF(ISNA(VLOOKUP(C18,'Rennen 14'!$C$3:$I$26,7,FALSE)),"-",VLOOKUP(C18,'Rennen 14'!$C$3:$I$26,7,FALSE))</f>
        <v>-</v>
      </c>
      <c r="S18" s="1" t="str">
        <f>IF(ISNA(VLOOKUP(C18,'Rennen 15'!$C$3:$I$26,7,FALSE)),"-",VLOOKUP(C18,'Rennen 15'!$C$3:$I$26,7,FALSE))</f>
        <v>-</v>
      </c>
      <c r="T18" s="1" t="str">
        <f>IF(ISNA(VLOOKUP(C18,'Rennen 16'!$C$3:$I$26,7,FALSE)),"-",VLOOKUP(C18,'Rennen 16'!$C$3:$I$26,7,FALSE))</f>
        <v>-</v>
      </c>
      <c r="U18" s="1" t="str">
        <f>IF(ISNA(VLOOKUP(C18,'Rennen 17'!$C$3:$I$26,7,FALSE)),"-",VLOOKUP(C18,'Rennen 17'!$C$3:$I$26,7,FALSE))</f>
        <v>-</v>
      </c>
      <c r="V18" s="1" t="str">
        <f>IF(ISNA(VLOOKUP(C18,'Rennen 18'!$C$3:$I$26,7,FALSE)),"-",VLOOKUP(C18,'Rennen 18'!$C$3:$I$26,7,FALSE))</f>
        <v>-</v>
      </c>
      <c r="W18" s="1" t="str">
        <f>IF(ISNA(VLOOKUP(C18,'Rennen 19'!$C$3:$I$26,7,FALSE)),"-",VLOOKUP(C18,'Rennen 19'!$C$3:$I$26,7,FALSE))</f>
        <v>-</v>
      </c>
      <c r="X18" s="1" t="str">
        <f>IF(ISNA(VLOOKUP(C18,'Rennen 20'!$C$3:$I$26,7,FALSE)),"-",VLOOKUP(C18,'Rennen 20'!$C$3:$I$26,7,FALSE))</f>
        <v>-</v>
      </c>
      <c r="Y18" s="1" t="str">
        <f>IF(ISNA(VLOOKUP(C18,'Rennen 21'!$C$3:$I$26,7,FALSE)),"-",VLOOKUP(C18,'Rennen 21'!$C$3:$I$26,7,FALSE))</f>
        <v>-</v>
      </c>
      <c r="Z18" s="1" t="str">
        <f>IF(ISNA(VLOOKUP(C18,'Rennen 22'!$C$3:$I$26,7,FALSE)),"-",VLOOKUP(C18,'Rennen 22'!$C$3:$I$26,7,FALSE))</f>
        <v>-</v>
      </c>
      <c r="AA18" s="1"/>
      <c r="AB18" s="1"/>
      <c r="AC18" s="1"/>
      <c r="AD18" s="1"/>
      <c r="AE18" s="1"/>
      <c r="AF18" s="1"/>
      <c r="AG18" s="1"/>
      <c r="AH18" s="1"/>
    </row>
    <row r="19" spans="2:34" x14ac:dyDescent="0.25">
      <c r="B19" s="12">
        <v>17</v>
      </c>
      <c r="C19" s="12" t="s">
        <v>63</v>
      </c>
      <c r="D19" s="12">
        <f>SUM(E19:AH19)</f>
        <v>10</v>
      </c>
      <c r="E19" s="1">
        <f>IF(ISNA(VLOOKUP(C19,'Rennen 1'!$C$3:$I$26,7,FALSE)),"-",VLOOKUP(C19,'Rennen 1'!$C$3:$I$26,7,FALSE))</f>
        <v>6</v>
      </c>
      <c r="F19" s="1">
        <f>IF(ISNA(VLOOKUP(C19,'Rennen 2'!$C$3:$I$26,7,FALSE)),"-",VLOOKUP(C19,'Rennen 2'!$C$3:$I$26,7,FALSE))</f>
        <v>4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 t="str">
        <f>IF(ISNA(VLOOKUP(C19,'Rennen 11'!$C$3:$I$26,7,FALSE)),"-",VLOOKUP(C19,'Rennen 11'!$C$3:$I$26,7,FALSE))</f>
        <v>-</v>
      </c>
      <c r="P19" s="1" t="str">
        <f>IF(ISNA(VLOOKUP(C19,'Rennen 12'!$C$3:$I$26,7,FALSE)),"-",VLOOKUP(C19,'Rennen 12'!$C$3:$I$26,7,FALSE))</f>
        <v>-</v>
      </c>
      <c r="Q19" s="1" t="str">
        <f>IF(ISNA(VLOOKUP(C19,'Rennen 13'!$C$3:$I$26,7,FALSE)),"-",VLOOKUP(C19,'Rennen 13'!$C$3:$I$26,7,FALSE))</f>
        <v>-</v>
      </c>
      <c r="R19" s="1" t="str">
        <f>IF(ISNA(VLOOKUP(C19,'Rennen 14'!$C$3:$I$26,7,FALSE)),"-",VLOOKUP(C19,'Rennen 14'!$C$3:$I$26,7,FALSE))</f>
        <v>-</v>
      </c>
      <c r="S19" s="1" t="str">
        <f>IF(ISNA(VLOOKUP(C19,'Rennen 15'!$C$3:$I$26,7,FALSE)),"-",VLOOKUP(C19,'Rennen 15'!$C$3:$I$26,7,FALSE))</f>
        <v>-</v>
      </c>
      <c r="T19" s="1" t="str">
        <f>IF(ISNA(VLOOKUP(C19,'Rennen 16'!$C$3:$I$26,7,FALSE)),"-",VLOOKUP(C19,'Rennen 16'!$C$3:$I$26,7,FALSE))</f>
        <v>-</v>
      </c>
      <c r="U19" s="1" t="str">
        <f>IF(ISNA(VLOOKUP(C19,'Rennen 17'!$C$3:$I$26,7,FALSE)),"-",VLOOKUP(C19,'Rennen 17'!$C$3:$I$26,7,FALSE))</f>
        <v>-</v>
      </c>
      <c r="V19" s="1" t="str">
        <f>IF(ISNA(VLOOKUP(C19,'Rennen 18'!$C$3:$I$26,7,FALSE)),"-",VLOOKUP(C19,'Rennen 18'!$C$3:$I$26,7,FALSE))</f>
        <v>-</v>
      </c>
      <c r="W19" s="1" t="str">
        <f>IF(ISNA(VLOOKUP(C19,'Rennen 19'!$C$3:$I$26,7,FALSE)),"-",VLOOKUP(C19,'Rennen 19'!$C$3:$I$26,7,FALSE))</f>
        <v>-</v>
      </c>
      <c r="X19" s="1" t="str">
        <f>IF(ISNA(VLOOKUP(C19,'Rennen 20'!$C$3:$I$26,7,FALSE)),"-",VLOOKUP(C19,'Rennen 20'!$C$3:$I$26,7,FALSE))</f>
        <v>-</v>
      </c>
      <c r="Y19" s="1" t="str">
        <f>IF(ISNA(VLOOKUP(C19,'Rennen 21'!$C$3:$I$26,7,FALSE)),"-",VLOOKUP(C19,'Rennen 21'!$C$3:$I$26,7,FALSE))</f>
        <v>-</v>
      </c>
      <c r="Z19" s="1" t="str">
        <f>IF(ISNA(VLOOKUP(C19,'Rennen 22'!$C$3:$I$26,7,FALSE)),"-",VLOOKUP(C19,'Rennen 22'!$C$3:$I$26,7,FALSE))</f>
        <v>-</v>
      </c>
      <c r="AA19" s="1"/>
      <c r="AB19" s="1"/>
      <c r="AC19" s="1"/>
      <c r="AD19" s="1"/>
      <c r="AE19" s="1"/>
      <c r="AF19" s="1"/>
      <c r="AG19" s="1"/>
      <c r="AH19" s="1"/>
    </row>
    <row r="20" spans="2:34" x14ac:dyDescent="0.25">
      <c r="B20" s="12">
        <v>18</v>
      </c>
      <c r="C20" s="12" t="s">
        <v>85</v>
      </c>
      <c r="D20" s="12">
        <f>SUM(E20:AH20)</f>
        <v>8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>
        <f>IF(ISNA(VLOOKUP(C20,'Rennen 3'!$C$3:$I$26,7,FALSE)),"-",VLOOKUP(C20,'Rennen 3'!$C$3:$I$26,7,FALSE))</f>
        <v>4</v>
      </c>
      <c r="H20" s="1">
        <f>IF(ISNA(VLOOKUP(C20,'Rennen 4'!$C$3:$I$26,7,FALSE)),"-",VLOOKUP(C20,'Rennen 4'!$C$3:$I$26,7,FALSE))</f>
        <v>4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 t="str">
        <f>IF(ISNA(VLOOKUP(C20,'Rennen 11'!$C$3:$I$26,7,FALSE)),"-",VLOOKUP(C20,'Rennen 11'!$C$3:$I$26,7,FALSE))</f>
        <v>-</v>
      </c>
      <c r="P20" s="1" t="str">
        <f>IF(ISNA(VLOOKUP(C20,'Rennen 12'!$C$3:$I$26,7,FALSE)),"-",VLOOKUP(C20,'Rennen 12'!$C$3:$I$26,7,FALSE))</f>
        <v>-</v>
      </c>
      <c r="Q20" s="1" t="str">
        <f>IF(ISNA(VLOOKUP(C20,'Rennen 13'!$C$3:$I$26,7,FALSE)),"-",VLOOKUP(C20,'Rennen 13'!$C$3:$I$26,7,FALSE))</f>
        <v>-</v>
      </c>
      <c r="R20" s="1" t="str">
        <f>IF(ISNA(VLOOKUP(C20,'Rennen 14'!$C$3:$I$26,7,FALSE)),"-",VLOOKUP(C20,'Rennen 14'!$C$3:$I$26,7,FALSE))</f>
        <v>-</v>
      </c>
      <c r="S20" s="1" t="str">
        <f>IF(ISNA(VLOOKUP(C20,'Rennen 15'!$C$3:$I$26,7,FALSE)),"-",VLOOKUP(C20,'Rennen 15'!$C$3:$I$26,7,FALSE))</f>
        <v>-</v>
      </c>
      <c r="T20" s="1" t="str">
        <f>IF(ISNA(VLOOKUP(C20,'Rennen 16'!$C$3:$I$26,7,FALSE)),"-",VLOOKUP(C20,'Rennen 16'!$C$3:$I$26,7,FALSE))</f>
        <v>-</v>
      </c>
      <c r="U20" s="1" t="str">
        <f>IF(ISNA(VLOOKUP(C20,'Rennen 17'!$C$3:$I$26,7,FALSE)),"-",VLOOKUP(C20,'Rennen 17'!$C$3:$I$26,7,FALSE))</f>
        <v>-</v>
      </c>
      <c r="V20" s="1" t="str">
        <f>IF(ISNA(VLOOKUP(C20,'Rennen 18'!$C$3:$I$26,7,FALSE)),"-",VLOOKUP(C20,'Rennen 18'!$C$3:$I$26,7,FALSE))</f>
        <v>-</v>
      </c>
      <c r="W20" s="1" t="str">
        <f>IF(ISNA(VLOOKUP(C20,'Rennen 19'!$C$3:$I$26,7,FALSE)),"-",VLOOKUP(C20,'Rennen 19'!$C$3:$I$26,7,FALSE))</f>
        <v>-</v>
      </c>
      <c r="X20" s="1" t="str">
        <f>IF(ISNA(VLOOKUP(C20,'Rennen 20'!$C$3:$I$26,7,FALSE)),"-",VLOOKUP(C20,'Rennen 20'!$C$3:$I$26,7,FALSE))</f>
        <v>-</v>
      </c>
      <c r="Y20" s="1" t="str">
        <f>IF(ISNA(VLOOKUP(C20,'Rennen 21'!$C$3:$I$26,7,FALSE)),"-",VLOOKUP(C20,'Rennen 21'!$C$3:$I$26,7,FALSE))</f>
        <v>-</v>
      </c>
      <c r="Z20" s="1" t="str">
        <f>IF(ISNA(VLOOKUP(C20,'Rennen 22'!$C$3:$I$26,7,FALSE)),"-",VLOOKUP(C20,'Rennen 22'!$C$3:$I$26,7,FALSE))</f>
        <v>-</v>
      </c>
      <c r="AA20" s="1"/>
      <c r="AB20" s="1"/>
      <c r="AC20" s="1"/>
      <c r="AD20" s="1"/>
      <c r="AE20" s="1"/>
      <c r="AF20" s="1"/>
      <c r="AG20" s="1"/>
      <c r="AH20" s="1"/>
    </row>
    <row r="21" spans="2:34" x14ac:dyDescent="0.25">
      <c r="B21" s="12">
        <v>19</v>
      </c>
      <c r="C21" s="12"/>
      <c r="D21" s="12">
        <f>SUM(E21:AH21)</f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 t="str">
        <f>IF(ISNA(VLOOKUP(C21,'Rennen 11'!$C$3:$I$26,7,FALSE)),"-",VLOOKUP(C21,'Rennen 11'!$C$3:$I$26,7,FALSE))</f>
        <v>-</v>
      </c>
      <c r="P21" s="1" t="str">
        <f>IF(ISNA(VLOOKUP(C21,'Rennen 12'!$C$3:$I$26,7,FALSE)),"-",VLOOKUP(C21,'Rennen 12'!$C$3:$I$26,7,FALSE))</f>
        <v>-</v>
      </c>
      <c r="Q21" s="1" t="str">
        <f>IF(ISNA(VLOOKUP(C21,'Rennen 13'!$C$3:$I$26,7,FALSE)),"-",VLOOKUP(C21,'Rennen 13'!$C$3:$I$26,7,FALSE))</f>
        <v>-</v>
      </c>
      <c r="R21" s="1" t="str">
        <f>IF(ISNA(VLOOKUP(C21,'Rennen 14'!$C$3:$I$26,7,FALSE)),"-",VLOOKUP(C21,'Rennen 14'!$C$3:$I$26,7,FALSE))</f>
        <v>-</v>
      </c>
      <c r="S21" s="1" t="str">
        <f>IF(ISNA(VLOOKUP(C21,'Rennen 15'!$C$3:$I$26,7,FALSE)),"-",VLOOKUP(C21,'Rennen 15'!$C$3:$I$26,7,FALSE))</f>
        <v>-</v>
      </c>
      <c r="T21" s="1" t="str">
        <f>IF(ISNA(VLOOKUP(C21,'Rennen 16'!$C$3:$I$26,7,FALSE)),"-",VLOOKUP(C21,'Rennen 16'!$C$3:$I$26,7,FALSE))</f>
        <v>-</v>
      </c>
      <c r="U21" s="1" t="str">
        <f>IF(ISNA(VLOOKUP(C21,'Rennen 17'!$C$3:$I$26,7,FALSE)),"-",VLOOKUP(C21,'Rennen 17'!$C$3:$I$26,7,FALSE))</f>
        <v>-</v>
      </c>
      <c r="V21" s="1" t="str">
        <f>IF(ISNA(VLOOKUP(C21,'Rennen 18'!$C$3:$I$26,7,FALSE)),"-",VLOOKUP(C21,'Rennen 18'!$C$3:$I$26,7,FALSE))</f>
        <v>-</v>
      </c>
      <c r="W21" s="1" t="str">
        <f>IF(ISNA(VLOOKUP(C21,'Rennen 19'!$C$3:$I$26,7,FALSE)),"-",VLOOKUP(C21,'Rennen 19'!$C$3:$I$26,7,FALSE))</f>
        <v>-</v>
      </c>
      <c r="X21" s="1" t="str">
        <f>IF(ISNA(VLOOKUP(C21,'Rennen 20'!$C$3:$I$26,7,FALSE)),"-",VLOOKUP(C21,'Rennen 20'!$C$3:$I$26,7,FALSE))</f>
        <v>-</v>
      </c>
      <c r="Y21" s="1" t="str">
        <f>IF(ISNA(VLOOKUP(C21,'Rennen 21'!$C$3:$I$26,7,FALSE)),"-",VLOOKUP(C21,'Rennen 21'!$C$3:$I$26,7,FALSE))</f>
        <v>-</v>
      </c>
      <c r="Z21" s="1" t="str">
        <f>IF(ISNA(VLOOKUP(C21,'Rennen 22'!$C$3:$I$26,7,FALSE)),"-",VLOOKUP(C21,'Rennen 22'!$C$3:$I$26,7,FALSE))</f>
        <v>-</v>
      </c>
      <c r="AA21" s="1"/>
      <c r="AB21" s="1"/>
      <c r="AC21" s="1"/>
      <c r="AD21" s="1"/>
      <c r="AE21" s="1"/>
      <c r="AF21" s="1"/>
      <c r="AG21" s="1"/>
      <c r="AH21" s="1"/>
    </row>
    <row r="22" spans="2:34" x14ac:dyDescent="0.25">
      <c r="B22" s="12">
        <v>20</v>
      </c>
      <c r="C22" s="12"/>
      <c r="D22" s="12">
        <f>SUM(E22:AH22)</f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 t="str">
        <f>IF(ISNA(VLOOKUP(C22,'Rennen 11'!$C$3:$I$26,7,FALSE)),"-",VLOOKUP(C22,'Rennen 11'!$C$3:$I$26,7,FALSE))</f>
        <v>-</v>
      </c>
      <c r="P22" s="1" t="str">
        <f>IF(ISNA(VLOOKUP(C22,'Rennen 12'!$C$3:$I$26,7,FALSE)),"-",VLOOKUP(C22,'Rennen 12'!$C$3:$I$26,7,FALSE))</f>
        <v>-</v>
      </c>
      <c r="Q22" s="1" t="str">
        <f>IF(ISNA(VLOOKUP(C22,'Rennen 13'!$C$3:$I$26,7,FALSE)),"-",VLOOKUP(C22,'Rennen 13'!$C$3:$I$26,7,FALSE))</f>
        <v>-</v>
      </c>
      <c r="R22" s="1" t="str">
        <f>IF(ISNA(VLOOKUP(C22,'Rennen 14'!$C$3:$I$26,7,FALSE)),"-",VLOOKUP(C22,'Rennen 14'!$C$3:$I$26,7,FALSE))</f>
        <v>-</v>
      </c>
      <c r="S22" s="1" t="str">
        <f>IF(ISNA(VLOOKUP(C22,'Rennen 15'!$C$3:$I$26,7,FALSE)),"-",VLOOKUP(C22,'Rennen 15'!$C$3:$I$26,7,FALSE))</f>
        <v>-</v>
      </c>
      <c r="T22" s="1" t="str">
        <f>IF(ISNA(VLOOKUP(C22,'Rennen 16'!$C$3:$I$26,7,FALSE)),"-",VLOOKUP(C22,'Rennen 16'!$C$3:$I$26,7,FALSE))</f>
        <v>-</v>
      </c>
      <c r="U22" s="1" t="str">
        <f>IF(ISNA(VLOOKUP(C22,'Rennen 17'!$C$3:$I$26,7,FALSE)),"-",VLOOKUP(C22,'Rennen 17'!$C$3:$I$26,7,FALSE))</f>
        <v>-</v>
      </c>
      <c r="V22" s="1" t="str">
        <f>IF(ISNA(VLOOKUP(C22,'Rennen 18'!$C$3:$I$26,7,FALSE)),"-",VLOOKUP(C22,'Rennen 18'!$C$3:$I$26,7,FALSE))</f>
        <v>-</v>
      </c>
      <c r="W22" s="1" t="str">
        <f>IF(ISNA(VLOOKUP(C22,'Rennen 19'!$C$3:$I$26,7,FALSE)),"-",VLOOKUP(C22,'Rennen 19'!$C$3:$I$26,7,FALSE))</f>
        <v>-</v>
      </c>
      <c r="X22" s="1" t="str">
        <f>IF(ISNA(VLOOKUP(C22,'Rennen 20'!$C$3:$I$26,7,FALSE)),"-",VLOOKUP(C22,'Rennen 20'!$C$3:$I$26,7,FALSE))</f>
        <v>-</v>
      </c>
      <c r="Y22" s="1" t="str">
        <f>IF(ISNA(VLOOKUP(C22,'Rennen 21'!$C$3:$I$26,7,FALSE)),"-",VLOOKUP(C22,'Rennen 21'!$C$3:$I$26,7,FALSE))</f>
        <v>-</v>
      </c>
      <c r="Z22" s="1" t="str">
        <f>IF(ISNA(VLOOKUP(C22,'Rennen 22'!$C$3:$I$26,7,FALSE)),"-",VLOOKUP(C22,'Rennen 22'!$C$3:$I$26,7,FALSE))</f>
        <v>-</v>
      </c>
      <c r="AA22" s="1"/>
      <c r="AB22" s="1"/>
      <c r="AC22" s="1"/>
      <c r="AD22" s="1"/>
      <c r="AE22" s="1"/>
      <c r="AF22" s="1"/>
      <c r="AG22" s="1"/>
      <c r="AH22" s="1"/>
    </row>
    <row r="23" spans="2:34" x14ac:dyDescent="0.25">
      <c r="B23" s="12">
        <v>21</v>
      </c>
      <c r="C23" s="12"/>
      <c r="D23" s="12">
        <f>SUM(E23:AH23)</f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 t="str">
        <f>IF(ISNA(VLOOKUP(C23,'Rennen 11'!$C$3:$I$26,7,FALSE)),"-",VLOOKUP(C23,'Rennen 11'!$C$3:$I$26,7,FALSE))</f>
        <v>-</v>
      </c>
      <c r="P23" s="1" t="str">
        <f>IF(ISNA(VLOOKUP(C23,'Rennen 12'!$C$3:$I$26,7,FALSE)),"-",VLOOKUP(C23,'Rennen 12'!$C$3:$I$26,7,FALSE))</f>
        <v>-</v>
      </c>
      <c r="Q23" s="1" t="str">
        <f>IF(ISNA(VLOOKUP(C23,'Rennen 13'!$C$3:$I$26,7,FALSE)),"-",VLOOKUP(C23,'Rennen 13'!$C$3:$I$26,7,FALSE))</f>
        <v>-</v>
      </c>
      <c r="R23" s="1" t="str">
        <f>IF(ISNA(VLOOKUP(C23,'Rennen 14'!$C$3:$I$26,7,FALSE)),"-",VLOOKUP(C23,'Rennen 14'!$C$3:$I$26,7,FALSE))</f>
        <v>-</v>
      </c>
      <c r="S23" s="1" t="str">
        <f>IF(ISNA(VLOOKUP(C23,'Rennen 15'!$C$3:$I$26,7,FALSE)),"-",VLOOKUP(C23,'Rennen 15'!$C$3:$I$26,7,FALSE))</f>
        <v>-</v>
      </c>
      <c r="T23" s="1" t="str">
        <f>IF(ISNA(VLOOKUP(C23,'Rennen 16'!$C$3:$I$26,7,FALSE)),"-",VLOOKUP(C23,'Rennen 16'!$C$3:$I$26,7,FALSE))</f>
        <v>-</v>
      </c>
      <c r="U23" s="1" t="str">
        <f>IF(ISNA(VLOOKUP(C23,'Rennen 17'!$C$3:$I$26,7,FALSE)),"-",VLOOKUP(C23,'Rennen 17'!$C$3:$I$26,7,FALSE))</f>
        <v>-</v>
      </c>
      <c r="V23" s="1" t="str">
        <f>IF(ISNA(VLOOKUP(C23,'Rennen 18'!$C$3:$I$26,7,FALSE)),"-",VLOOKUP(C23,'Rennen 18'!$C$3:$I$26,7,FALSE))</f>
        <v>-</v>
      </c>
      <c r="W23" s="1" t="str">
        <f>IF(ISNA(VLOOKUP(C23,'Rennen 19'!$C$3:$I$26,7,FALSE)),"-",VLOOKUP(C23,'Rennen 19'!$C$3:$I$26,7,FALSE))</f>
        <v>-</v>
      </c>
      <c r="X23" s="1" t="str">
        <f>IF(ISNA(VLOOKUP(C23,'Rennen 20'!$C$3:$I$26,7,FALSE)),"-",VLOOKUP(C23,'Rennen 20'!$C$3:$I$26,7,FALSE))</f>
        <v>-</v>
      </c>
      <c r="Y23" s="1" t="str">
        <f>IF(ISNA(VLOOKUP(C23,'Rennen 21'!$C$3:$I$26,7,FALSE)),"-",VLOOKUP(C23,'Rennen 21'!$C$3:$I$26,7,FALSE))</f>
        <v>-</v>
      </c>
      <c r="Z23" s="1" t="str">
        <f>IF(ISNA(VLOOKUP(C23,'Rennen 22'!$C$3:$I$26,7,FALSE)),"-",VLOOKUP(C23,'Rennen 22'!$C$3:$I$26,7,FALSE))</f>
        <v>-</v>
      </c>
      <c r="AA23" s="1"/>
      <c r="AB23" s="1"/>
      <c r="AC23" s="1"/>
      <c r="AD23" s="1"/>
      <c r="AE23" s="1"/>
      <c r="AF23" s="1"/>
      <c r="AG23" s="1"/>
      <c r="AH23" s="1"/>
    </row>
    <row r="24" spans="2:34" x14ac:dyDescent="0.25">
      <c r="B24" s="12">
        <v>22</v>
      </c>
      <c r="C24" s="12"/>
      <c r="D24" s="12">
        <f>SUM(E24:AH24)</f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 t="str">
        <f>IF(ISNA(VLOOKUP(C24,'Rennen 11'!$C$3:$I$26,7,FALSE)),"-",VLOOKUP(C24,'Rennen 11'!$C$3:$I$26,7,FALSE))</f>
        <v>-</v>
      </c>
      <c r="P24" s="1" t="str">
        <f>IF(ISNA(VLOOKUP(C24,'Rennen 12'!$C$3:$I$26,7,FALSE)),"-",VLOOKUP(C24,'Rennen 12'!$C$3:$I$26,7,FALSE))</f>
        <v>-</v>
      </c>
      <c r="Q24" s="1" t="str">
        <f>IF(ISNA(VLOOKUP(C24,'Rennen 13'!$C$3:$I$26,7,FALSE)),"-",VLOOKUP(C24,'Rennen 13'!$C$3:$I$26,7,FALSE))</f>
        <v>-</v>
      </c>
      <c r="R24" s="1" t="str">
        <f>IF(ISNA(VLOOKUP(C24,'Rennen 14'!$C$3:$I$26,7,FALSE)),"-",VLOOKUP(C24,'Rennen 14'!$C$3:$I$26,7,FALSE))</f>
        <v>-</v>
      </c>
      <c r="S24" s="1" t="str">
        <f>IF(ISNA(VLOOKUP(C24,'Rennen 15'!$C$3:$I$26,7,FALSE)),"-",VLOOKUP(C24,'Rennen 15'!$C$3:$I$26,7,FALSE))</f>
        <v>-</v>
      </c>
      <c r="T24" s="1" t="str">
        <f>IF(ISNA(VLOOKUP(C24,'Rennen 16'!$C$3:$I$26,7,FALSE)),"-",VLOOKUP(C24,'Rennen 16'!$C$3:$I$26,7,FALSE))</f>
        <v>-</v>
      </c>
      <c r="U24" s="1" t="str">
        <f>IF(ISNA(VLOOKUP(C24,'Rennen 17'!$C$3:$I$26,7,FALSE)),"-",VLOOKUP(C24,'Rennen 17'!$C$3:$I$26,7,FALSE))</f>
        <v>-</v>
      </c>
      <c r="V24" s="1" t="str">
        <f>IF(ISNA(VLOOKUP(C24,'Rennen 18'!$C$3:$I$26,7,FALSE)),"-",VLOOKUP(C24,'Rennen 18'!$C$3:$I$26,7,FALSE))</f>
        <v>-</v>
      </c>
      <c r="W24" s="1" t="str">
        <f>IF(ISNA(VLOOKUP(C24,'Rennen 19'!$C$3:$I$26,7,FALSE)),"-",VLOOKUP(C24,'Rennen 19'!$C$3:$I$26,7,FALSE))</f>
        <v>-</v>
      </c>
      <c r="X24" s="1" t="str">
        <f>IF(ISNA(VLOOKUP(C24,'Rennen 20'!$C$3:$I$26,7,FALSE)),"-",VLOOKUP(C24,'Rennen 20'!$C$3:$I$26,7,FALSE))</f>
        <v>-</v>
      </c>
      <c r="Y24" s="1" t="str">
        <f>IF(ISNA(VLOOKUP(C24,'Rennen 21'!$C$3:$I$26,7,FALSE)),"-",VLOOKUP(C24,'Rennen 21'!$C$3:$I$26,7,FALSE))</f>
        <v>-</v>
      </c>
      <c r="Z24" s="1" t="str">
        <f>IF(ISNA(VLOOKUP(C24,'Rennen 22'!$C$3:$I$26,7,FALSE)),"-",VLOOKUP(C24,'Rennen 22'!$C$3:$I$26,7,FALSE))</f>
        <v>-</v>
      </c>
      <c r="AA24" s="1"/>
      <c r="AB24" s="1"/>
      <c r="AC24" s="1"/>
      <c r="AD24" s="1"/>
      <c r="AE24" s="1"/>
      <c r="AF24" s="1"/>
      <c r="AG24" s="1"/>
      <c r="AH24" s="1"/>
    </row>
    <row r="25" spans="2:34" x14ac:dyDescent="0.25">
      <c r="B25" s="12">
        <v>23</v>
      </c>
      <c r="C25" s="12"/>
      <c r="D25" s="12">
        <f>SUM(E25:AH25)</f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 t="str">
        <f>IF(ISNA(VLOOKUP(C25,'Rennen 11'!$C$3:$I$26,7,FALSE)),"-",VLOOKUP(C25,'Rennen 11'!$C$3:$I$26,7,FALSE))</f>
        <v>-</v>
      </c>
      <c r="P25" s="1" t="str">
        <f>IF(ISNA(VLOOKUP(C25,'Rennen 12'!$C$3:$I$26,7,FALSE)),"-",VLOOKUP(C25,'Rennen 12'!$C$3:$I$26,7,FALSE))</f>
        <v>-</v>
      </c>
      <c r="Q25" s="1" t="str">
        <f>IF(ISNA(VLOOKUP(C25,'Rennen 13'!$C$3:$I$26,7,FALSE)),"-",VLOOKUP(C25,'Rennen 13'!$C$3:$I$26,7,FALSE))</f>
        <v>-</v>
      </c>
      <c r="R25" s="1" t="str">
        <f>IF(ISNA(VLOOKUP(C25,'Rennen 14'!$C$3:$I$26,7,FALSE)),"-",VLOOKUP(C25,'Rennen 14'!$C$3:$I$26,7,FALSE))</f>
        <v>-</v>
      </c>
      <c r="S25" s="1" t="str">
        <f>IF(ISNA(VLOOKUP(C25,'Rennen 15'!$C$3:$I$26,7,FALSE)),"-",VLOOKUP(C25,'Rennen 15'!$C$3:$I$26,7,FALSE))</f>
        <v>-</v>
      </c>
      <c r="T25" s="1" t="str">
        <f>IF(ISNA(VLOOKUP(C25,'Rennen 16'!$C$3:$I$26,7,FALSE)),"-",VLOOKUP(C25,'Rennen 16'!$C$3:$I$26,7,FALSE))</f>
        <v>-</v>
      </c>
      <c r="U25" s="1" t="str">
        <f>IF(ISNA(VLOOKUP(C25,'Rennen 17'!$C$3:$I$26,7,FALSE)),"-",VLOOKUP(C25,'Rennen 17'!$C$3:$I$26,7,FALSE))</f>
        <v>-</v>
      </c>
      <c r="V25" s="1" t="str">
        <f>IF(ISNA(VLOOKUP(C25,'Rennen 18'!$C$3:$I$26,7,FALSE)),"-",VLOOKUP(C25,'Rennen 18'!$C$3:$I$26,7,FALSE))</f>
        <v>-</v>
      </c>
      <c r="W25" s="1" t="str">
        <f>IF(ISNA(VLOOKUP(C25,'Rennen 19'!$C$3:$I$26,7,FALSE)),"-",VLOOKUP(C25,'Rennen 19'!$C$3:$I$26,7,FALSE))</f>
        <v>-</v>
      </c>
      <c r="X25" s="1" t="str">
        <f>IF(ISNA(VLOOKUP(C25,'Rennen 20'!$C$3:$I$26,7,FALSE)),"-",VLOOKUP(C25,'Rennen 20'!$C$3:$I$26,7,FALSE))</f>
        <v>-</v>
      </c>
      <c r="Y25" s="1" t="str">
        <f>IF(ISNA(VLOOKUP(C25,'Rennen 21'!$C$3:$I$26,7,FALSE)),"-",VLOOKUP(C25,'Rennen 21'!$C$3:$I$26,7,FALSE))</f>
        <v>-</v>
      </c>
      <c r="Z25" s="1" t="str">
        <f>IF(ISNA(VLOOKUP(C25,'Rennen 22'!$C$3:$I$26,7,FALSE)),"-",VLOOKUP(C25,'Rennen 22'!$C$3:$I$26,7,FALSE))</f>
        <v>-</v>
      </c>
      <c r="AA25" s="1"/>
      <c r="AB25" s="1"/>
      <c r="AC25" s="1"/>
      <c r="AD25" s="1"/>
      <c r="AE25" s="1"/>
      <c r="AF25" s="1"/>
      <c r="AG25" s="1"/>
      <c r="AH25" s="1"/>
    </row>
    <row r="26" spans="2:34" x14ac:dyDescent="0.25">
      <c r="B26" s="12">
        <v>24</v>
      </c>
      <c r="C26" s="12"/>
      <c r="D26" s="12">
        <f>SUM(E26:AH26)</f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 t="str">
        <f>IF(ISNA(VLOOKUP(C26,'Rennen 11'!$C$3:$I$26,7,FALSE)),"-",VLOOKUP(C26,'Rennen 11'!$C$3:$I$26,7,FALSE))</f>
        <v>-</v>
      </c>
      <c r="P26" s="1" t="str">
        <f>IF(ISNA(VLOOKUP(C26,'Rennen 12'!$C$3:$I$26,7,FALSE)),"-",VLOOKUP(C26,'Rennen 12'!$C$3:$I$26,7,FALSE))</f>
        <v>-</v>
      </c>
      <c r="Q26" s="1" t="str">
        <f>IF(ISNA(VLOOKUP(C26,'Rennen 13'!$C$3:$I$26,7,FALSE)),"-",VLOOKUP(C26,'Rennen 13'!$C$3:$I$26,7,FALSE))</f>
        <v>-</v>
      </c>
      <c r="R26" s="1" t="str">
        <f>IF(ISNA(VLOOKUP(C26,'Rennen 14'!$C$3:$I$26,7,FALSE)),"-",VLOOKUP(C26,'Rennen 14'!$C$3:$I$26,7,FALSE))</f>
        <v>-</v>
      </c>
      <c r="S26" s="1" t="str">
        <f>IF(ISNA(VLOOKUP(C26,'Rennen 15'!$C$3:$I$26,7,FALSE)),"-",VLOOKUP(C26,'Rennen 15'!$C$3:$I$26,7,FALSE))</f>
        <v>-</v>
      </c>
      <c r="T26" s="1" t="str">
        <f>IF(ISNA(VLOOKUP(C26,'Rennen 16'!$C$3:$I$26,7,FALSE)),"-",VLOOKUP(C26,'Rennen 16'!$C$3:$I$26,7,FALSE))</f>
        <v>-</v>
      </c>
      <c r="U26" s="1" t="str">
        <f>IF(ISNA(VLOOKUP(C26,'Rennen 17'!$C$3:$I$26,7,FALSE)),"-",VLOOKUP(C26,'Rennen 17'!$C$3:$I$26,7,FALSE))</f>
        <v>-</v>
      </c>
      <c r="V26" s="1" t="str">
        <f>IF(ISNA(VLOOKUP(C26,'Rennen 18'!$C$3:$I$26,7,FALSE)),"-",VLOOKUP(C26,'Rennen 18'!$C$3:$I$26,7,FALSE))</f>
        <v>-</v>
      </c>
      <c r="W26" s="1" t="str">
        <f>IF(ISNA(VLOOKUP(C26,'Rennen 19'!$C$3:$I$26,7,FALSE)),"-",VLOOKUP(C26,'Rennen 19'!$C$3:$I$26,7,FALSE))</f>
        <v>-</v>
      </c>
      <c r="X26" s="1" t="str">
        <f>IF(ISNA(VLOOKUP(C26,'Rennen 20'!$C$3:$I$26,7,FALSE)),"-",VLOOKUP(C26,'Rennen 20'!$C$3:$I$26,7,FALSE))</f>
        <v>-</v>
      </c>
      <c r="Y26" s="1" t="str">
        <f>IF(ISNA(VLOOKUP(C26,'Rennen 21'!$C$3:$I$26,7,FALSE)),"-",VLOOKUP(C26,'Rennen 21'!$C$3:$I$26,7,FALSE))</f>
        <v>-</v>
      </c>
      <c r="Z26" s="1" t="str">
        <f>IF(ISNA(VLOOKUP(C26,'Rennen 22'!$C$3:$I$26,7,FALSE)),"-",VLOOKUP(C26,'Rennen 22'!$C$3:$I$26,7,FALSE))</f>
        <v>-</v>
      </c>
      <c r="AA26" s="1"/>
      <c r="AB26" s="1"/>
      <c r="AC26" s="1"/>
      <c r="AD26" s="1"/>
      <c r="AE26" s="1"/>
      <c r="AF26" s="1"/>
      <c r="AG26" s="1"/>
      <c r="AH26" s="1"/>
    </row>
    <row r="27" spans="2:34" x14ac:dyDescent="0.25">
      <c r="B27" s="12">
        <v>25</v>
      </c>
      <c r="C27" s="12"/>
      <c r="D27" s="12">
        <f>SUM(E27:AH27)</f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 t="str">
        <f>IF(ISNA(VLOOKUP(C27,'Rennen 11'!$C$3:$I$26,7,FALSE)),"-",VLOOKUP(C27,'Rennen 11'!$C$3:$I$26,7,FALSE))</f>
        <v>-</v>
      </c>
      <c r="P27" s="1" t="str">
        <f>IF(ISNA(VLOOKUP(C27,'Rennen 12'!$C$3:$I$26,7,FALSE)),"-",VLOOKUP(C27,'Rennen 12'!$C$3:$I$26,7,FALSE))</f>
        <v>-</v>
      </c>
      <c r="Q27" s="1" t="str">
        <f>IF(ISNA(VLOOKUP(C27,'Rennen 13'!$C$3:$I$26,7,FALSE)),"-",VLOOKUP(C27,'Rennen 13'!$C$3:$I$26,7,FALSE))</f>
        <v>-</v>
      </c>
      <c r="R27" s="1" t="str">
        <f>IF(ISNA(VLOOKUP(C27,'Rennen 14'!$C$3:$I$26,7,FALSE)),"-",VLOOKUP(C27,'Rennen 14'!$C$3:$I$26,7,FALSE))</f>
        <v>-</v>
      </c>
      <c r="S27" s="1" t="str">
        <f>IF(ISNA(VLOOKUP(C27,'Rennen 15'!$C$3:$I$26,7,FALSE)),"-",VLOOKUP(C27,'Rennen 15'!$C$3:$I$26,7,FALSE))</f>
        <v>-</v>
      </c>
      <c r="T27" s="1" t="str">
        <f>IF(ISNA(VLOOKUP(C27,'Rennen 16'!$C$3:$I$26,7,FALSE)),"-",VLOOKUP(C27,'Rennen 16'!$C$3:$I$26,7,FALSE))</f>
        <v>-</v>
      </c>
      <c r="U27" s="1" t="str">
        <f>IF(ISNA(VLOOKUP(C27,'Rennen 17'!$C$3:$I$26,7,FALSE)),"-",VLOOKUP(C27,'Rennen 17'!$C$3:$I$26,7,FALSE))</f>
        <v>-</v>
      </c>
      <c r="V27" s="1" t="str">
        <f>IF(ISNA(VLOOKUP(C27,'Rennen 18'!$C$3:$I$26,7,FALSE)),"-",VLOOKUP(C27,'Rennen 18'!$C$3:$I$26,7,FALSE))</f>
        <v>-</v>
      </c>
      <c r="W27" s="1" t="str">
        <f>IF(ISNA(VLOOKUP(C27,'Rennen 19'!$C$3:$I$26,7,FALSE)),"-",VLOOKUP(C27,'Rennen 19'!$C$3:$I$26,7,FALSE))</f>
        <v>-</v>
      </c>
      <c r="X27" s="1" t="str">
        <f>IF(ISNA(VLOOKUP(C27,'Rennen 20'!$C$3:$I$26,7,FALSE)),"-",VLOOKUP(C27,'Rennen 20'!$C$3:$I$26,7,FALSE))</f>
        <v>-</v>
      </c>
      <c r="Y27" s="1" t="str">
        <f>IF(ISNA(VLOOKUP(C27,'Rennen 21'!$C$3:$I$26,7,FALSE)),"-",VLOOKUP(C27,'Rennen 21'!$C$3:$I$26,7,FALSE))</f>
        <v>-</v>
      </c>
      <c r="Z27" s="1" t="str">
        <f>IF(ISNA(VLOOKUP(C27,'Rennen 22'!$C$3:$I$26,7,FALSE)),"-",VLOOKUP(C27,'Rennen 22'!$C$3:$I$26,7,FALSE))</f>
        <v>-</v>
      </c>
      <c r="AA27" s="1"/>
      <c r="AB27" s="1"/>
      <c r="AC27" s="1"/>
      <c r="AD27" s="1"/>
      <c r="AE27" s="1"/>
      <c r="AF27" s="1"/>
      <c r="AG27" s="1"/>
      <c r="AH27" s="1"/>
    </row>
    <row r="28" spans="2:34" x14ac:dyDescent="0.25">
      <c r="B28" s="12">
        <v>26</v>
      </c>
      <c r="C28" s="12"/>
      <c r="D28" s="12">
        <f>SUM(E28:AH28)</f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 t="str">
        <f>IF(ISNA(VLOOKUP(C28,'Rennen 11'!$C$3:$I$26,7,FALSE)),"-",VLOOKUP(C28,'Rennen 11'!$C$3:$I$26,7,FALSE))</f>
        <v>-</v>
      </c>
      <c r="P28" s="1" t="str">
        <f>IF(ISNA(VLOOKUP(C28,'Rennen 12'!$C$3:$I$26,7,FALSE)),"-",VLOOKUP(C28,'Rennen 12'!$C$3:$I$26,7,FALSE))</f>
        <v>-</v>
      </c>
      <c r="Q28" s="1" t="str">
        <f>IF(ISNA(VLOOKUP(C28,'Rennen 13'!$C$3:$I$26,7,FALSE)),"-",VLOOKUP(C28,'Rennen 13'!$C$3:$I$26,7,FALSE))</f>
        <v>-</v>
      </c>
      <c r="R28" s="1" t="str">
        <f>IF(ISNA(VLOOKUP(C28,'Rennen 14'!$C$3:$I$26,7,FALSE)),"-",VLOOKUP(C28,'Rennen 14'!$C$3:$I$26,7,FALSE))</f>
        <v>-</v>
      </c>
      <c r="S28" s="1" t="str">
        <f>IF(ISNA(VLOOKUP(C28,'Rennen 15'!$C$3:$I$26,7,FALSE)),"-",VLOOKUP(C28,'Rennen 15'!$C$3:$I$26,7,FALSE))</f>
        <v>-</v>
      </c>
      <c r="T28" s="1" t="str">
        <f>IF(ISNA(VLOOKUP(C28,'Rennen 16'!$C$3:$I$26,7,FALSE)),"-",VLOOKUP(C28,'Rennen 16'!$C$3:$I$26,7,FALSE))</f>
        <v>-</v>
      </c>
      <c r="U28" s="1" t="str">
        <f>IF(ISNA(VLOOKUP(C28,'Rennen 17'!$C$3:$I$26,7,FALSE)),"-",VLOOKUP(C28,'Rennen 17'!$C$3:$I$26,7,FALSE))</f>
        <v>-</v>
      </c>
      <c r="V28" s="1" t="str">
        <f>IF(ISNA(VLOOKUP(C28,'Rennen 18'!$C$3:$I$26,7,FALSE)),"-",VLOOKUP(C28,'Rennen 18'!$C$3:$I$26,7,FALSE))</f>
        <v>-</v>
      </c>
      <c r="W28" s="1" t="str">
        <f>IF(ISNA(VLOOKUP(C28,'Rennen 19'!$C$3:$I$26,7,FALSE)),"-",VLOOKUP(C28,'Rennen 19'!$C$3:$I$26,7,FALSE))</f>
        <v>-</v>
      </c>
      <c r="X28" s="1" t="str">
        <f>IF(ISNA(VLOOKUP(C28,'Rennen 20'!$C$3:$I$26,7,FALSE)),"-",VLOOKUP(C28,'Rennen 20'!$C$3:$I$26,7,FALSE))</f>
        <v>-</v>
      </c>
      <c r="Y28" s="1" t="str">
        <f>IF(ISNA(VLOOKUP(C28,'Rennen 21'!$C$3:$I$26,7,FALSE)),"-",VLOOKUP(C28,'Rennen 21'!$C$3:$I$26,7,FALSE))</f>
        <v>-</v>
      </c>
      <c r="Z28" s="1" t="str">
        <f>IF(ISNA(VLOOKUP(C28,'Rennen 22'!$C$3:$I$26,7,FALSE)),"-",VLOOKUP(C28,'Rennen 22'!$C$3:$I$26,7,FALSE))</f>
        <v>-</v>
      </c>
      <c r="AA28" s="1"/>
      <c r="AB28" s="1"/>
      <c r="AC28" s="1"/>
      <c r="AD28" s="1"/>
      <c r="AE28" s="1"/>
      <c r="AF28" s="1"/>
      <c r="AG28" s="1"/>
      <c r="AH28" s="1"/>
    </row>
    <row r="29" spans="2:34" x14ac:dyDescent="0.25">
      <c r="B29" s="12">
        <v>27</v>
      </c>
      <c r="C29" s="12"/>
      <c r="D29" s="12">
        <f>SUM(E29:AH29)</f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 t="str">
        <f>IF(ISNA(VLOOKUP(C29,'Rennen 11'!$C$3:$I$26,7,FALSE)),"-",VLOOKUP(C29,'Rennen 11'!$C$3:$I$26,7,FALSE))</f>
        <v>-</v>
      </c>
      <c r="P29" s="1" t="str">
        <f>IF(ISNA(VLOOKUP(C29,'Rennen 12'!$C$3:$I$26,7,FALSE)),"-",VLOOKUP(C29,'Rennen 12'!$C$3:$I$26,7,FALSE))</f>
        <v>-</v>
      </c>
      <c r="Q29" s="1" t="str">
        <f>IF(ISNA(VLOOKUP(C29,'Rennen 13'!$C$3:$I$26,7,FALSE)),"-",VLOOKUP(C29,'Rennen 13'!$C$3:$I$26,7,FALSE))</f>
        <v>-</v>
      </c>
      <c r="R29" s="1" t="str">
        <f>IF(ISNA(VLOOKUP(C29,'Rennen 14'!$C$3:$I$26,7,FALSE)),"-",VLOOKUP(C29,'Rennen 14'!$C$3:$I$26,7,FALSE))</f>
        <v>-</v>
      </c>
      <c r="S29" s="1" t="str">
        <f>IF(ISNA(VLOOKUP(C29,'Rennen 15'!$C$3:$I$26,7,FALSE)),"-",VLOOKUP(C29,'Rennen 15'!$C$3:$I$26,7,FALSE))</f>
        <v>-</v>
      </c>
      <c r="T29" s="1" t="str">
        <f>IF(ISNA(VLOOKUP(C29,'Rennen 16'!$C$3:$I$26,7,FALSE)),"-",VLOOKUP(C29,'Rennen 16'!$C$3:$I$26,7,FALSE))</f>
        <v>-</v>
      </c>
      <c r="U29" s="1" t="str">
        <f>IF(ISNA(VLOOKUP(C29,'Rennen 17'!$C$3:$I$26,7,FALSE)),"-",VLOOKUP(C29,'Rennen 17'!$C$3:$I$26,7,FALSE))</f>
        <v>-</v>
      </c>
      <c r="V29" s="1" t="str">
        <f>IF(ISNA(VLOOKUP(C29,'Rennen 18'!$C$3:$I$26,7,FALSE)),"-",VLOOKUP(C29,'Rennen 18'!$C$3:$I$26,7,FALSE))</f>
        <v>-</v>
      </c>
      <c r="W29" s="1" t="str">
        <f>IF(ISNA(VLOOKUP(C29,'Rennen 19'!$C$3:$I$26,7,FALSE)),"-",VLOOKUP(C29,'Rennen 19'!$C$3:$I$26,7,FALSE))</f>
        <v>-</v>
      </c>
      <c r="X29" s="1" t="str">
        <f>IF(ISNA(VLOOKUP(C29,'Rennen 20'!$C$3:$I$26,7,FALSE)),"-",VLOOKUP(C29,'Rennen 20'!$C$3:$I$26,7,FALSE))</f>
        <v>-</v>
      </c>
      <c r="Y29" s="1" t="str">
        <f>IF(ISNA(VLOOKUP(C29,'Rennen 21'!$C$3:$I$26,7,FALSE)),"-",VLOOKUP(C29,'Rennen 21'!$C$3:$I$26,7,FALSE))</f>
        <v>-</v>
      </c>
      <c r="Z29" s="1" t="str">
        <f>IF(ISNA(VLOOKUP(C29,'Rennen 22'!$C$3:$I$26,7,FALSE)),"-",VLOOKUP(C29,'Rennen 22'!$C$3:$I$26,7,FALSE))</f>
        <v>-</v>
      </c>
      <c r="AA29" s="1"/>
      <c r="AB29" s="1"/>
      <c r="AC29" s="1"/>
      <c r="AD29" s="1"/>
      <c r="AE29" s="1"/>
      <c r="AF29" s="1"/>
      <c r="AG29" s="1"/>
      <c r="AH29" s="1"/>
    </row>
    <row r="30" spans="2:34" x14ac:dyDescent="0.25">
      <c r="B30" s="12">
        <v>28</v>
      </c>
      <c r="C30" s="12"/>
      <c r="D30" s="12">
        <f>SUM(E30:AH30)</f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 t="str">
        <f>IF(ISNA(VLOOKUP(C30,'Rennen 11'!$C$3:$I$26,7,FALSE)),"-",VLOOKUP(C30,'Rennen 11'!$C$3:$I$26,7,FALSE))</f>
        <v>-</v>
      </c>
      <c r="P30" s="1" t="str">
        <f>IF(ISNA(VLOOKUP(C30,'Rennen 12'!$C$3:$I$26,7,FALSE)),"-",VLOOKUP(C30,'Rennen 12'!$C$3:$I$26,7,FALSE))</f>
        <v>-</v>
      </c>
      <c r="Q30" s="1" t="str">
        <f>IF(ISNA(VLOOKUP(C30,'Rennen 13'!$C$3:$I$26,7,FALSE)),"-",VLOOKUP(C30,'Rennen 13'!$C$3:$I$26,7,FALSE))</f>
        <v>-</v>
      </c>
      <c r="R30" s="1" t="str">
        <f>IF(ISNA(VLOOKUP(C30,'Rennen 14'!$C$3:$I$26,7,FALSE)),"-",VLOOKUP(C30,'Rennen 14'!$C$3:$I$26,7,FALSE))</f>
        <v>-</v>
      </c>
      <c r="S30" s="1" t="str">
        <f>IF(ISNA(VLOOKUP(C30,'Rennen 15'!$C$3:$I$26,7,FALSE)),"-",VLOOKUP(C30,'Rennen 15'!$C$3:$I$26,7,FALSE))</f>
        <v>-</v>
      </c>
      <c r="T30" s="1" t="str">
        <f>IF(ISNA(VLOOKUP(C30,'Rennen 16'!$C$3:$I$26,7,FALSE)),"-",VLOOKUP(C30,'Rennen 16'!$C$3:$I$26,7,FALSE))</f>
        <v>-</v>
      </c>
      <c r="U30" s="1" t="str">
        <f>IF(ISNA(VLOOKUP(C30,'Rennen 17'!$C$3:$I$26,7,FALSE)),"-",VLOOKUP(C30,'Rennen 17'!$C$3:$I$26,7,FALSE))</f>
        <v>-</v>
      </c>
      <c r="V30" s="1" t="str">
        <f>IF(ISNA(VLOOKUP(C30,'Rennen 18'!$C$3:$I$26,7,FALSE)),"-",VLOOKUP(C30,'Rennen 18'!$C$3:$I$26,7,FALSE))</f>
        <v>-</v>
      </c>
      <c r="W30" s="1" t="str">
        <f>IF(ISNA(VLOOKUP(C30,'Rennen 19'!$C$3:$I$26,7,FALSE)),"-",VLOOKUP(C30,'Rennen 19'!$C$3:$I$26,7,FALSE))</f>
        <v>-</v>
      </c>
      <c r="X30" s="1" t="str">
        <f>IF(ISNA(VLOOKUP(C30,'Rennen 20'!$C$3:$I$26,7,FALSE)),"-",VLOOKUP(C30,'Rennen 20'!$C$3:$I$26,7,FALSE))</f>
        <v>-</v>
      </c>
      <c r="Y30" s="1" t="str">
        <f>IF(ISNA(VLOOKUP(C30,'Rennen 21'!$C$3:$I$26,7,FALSE)),"-",VLOOKUP(C30,'Rennen 21'!$C$3:$I$26,7,FALSE))</f>
        <v>-</v>
      </c>
      <c r="Z30" s="1" t="str">
        <f>IF(ISNA(VLOOKUP(C30,'Rennen 22'!$C$3:$I$26,7,FALSE)),"-",VLOOKUP(C30,'Rennen 22'!$C$3:$I$26,7,FALSE))</f>
        <v>-</v>
      </c>
      <c r="AA30" s="1"/>
      <c r="AB30" s="1"/>
      <c r="AC30" s="1"/>
      <c r="AD30" s="1"/>
      <c r="AE30" s="1"/>
      <c r="AF30" s="1"/>
      <c r="AG30" s="1"/>
      <c r="AH30" s="1"/>
    </row>
    <row r="31" spans="2:34" x14ac:dyDescent="0.25">
      <c r="B31" s="12">
        <v>29</v>
      </c>
      <c r="C31" s="12"/>
      <c r="D31" s="12">
        <f>SUM(E31:AH31)</f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 t="str">
        <f>IF(ISNA(VLOOKUP(C31,'Rennen 11'!$C$3:$I$26,7,FALSE)),"-",VLOOKUP(C31,'Rennen 11'!$C$3:$I$26,7,FALSE))</f>
        <v>-</v>
      </c>
      <c r="P31" s="1" t="str">
        <f>IF(ISNA(VLOOKUP(C31,'Rennen 12'!$C$3:$I$26,7,FALSE)),"-",VLOOKUP(C31,'Rennen 12'!$C$3:$I$26,7,FALSE))</f>
        <v>-</v>
      </c>
      <c r="Q31" s="1" t="str">
        <f>IF(ISNA(VLOOKUP(C31,'Rennen 13'!$C$3:$I$26,7,FALSE)),"-",VLOOKUP(C31,'Rennen 13'!$C$3:$I$26,7,FALSE))</f>
        <v>-</v>
      </c>
      <c r="R31" s="1" t="str">
        <f>IF(ISNA(VLOOKUP(C31,'Rennen 14'!$C$3:$I$26,7,FALSE)),"-",VLOOKUP(C31,'Rennen 14'!$C$3:$I$26,7,FALSE))</f>
        <v>-</v>
      </c>
      <c r="S31" s="1" t="str">
        <f>IF(ISNA(VLOOKUP(C31,'Rennen 15'!$C$3:$I$26,7,FALSE)),"-",VLOOKUP(C31,'Rennen 15'!$C$3:$I$26,7,FALSE))</f>
        <v>-</v>
      </c>
      <c r="T31" s="1" t="str">
        <f>IF(ISNA(VLOOKUP(C31,'Rennen 16'!$C$3:$I$26,7,FALSE)),"-",VLOOKUP(C31,'Rennen 16'!$C$3:$I$26,7,FALSE))</f>
        <v>-</v>
      </c>
      <c r="U31" s="1" t="str">
        <f>IF(ISNA(VLOOKUP(C31,'Rennen 17'!$C$3:$I$26,7,FALSE)),"-",VLOOKUP(C31,'Rennen 17'!$C$3:$I$26,7,FALSE))</f>
        <v>-</v>
      </c>
      <c r="V31" s="1" t="str">
        <f>IF(ISNA(VLOOKUP(C31,'Rennen 18'!$C$3:$I$26,7,FALSE)),"-",VLOOKUP(C31,'Rennen 18'!$C$3:$I$26,7,FALSE))</f>
        <v>-</v>
      </c>
      <c r="W31" s="1" t="str">
        <f>IF(ISNA(VLOOKUP(C31,'Rennen 19'!$C$3:$I$26,7,FALSE)),"-",VLOOKUP(C31,'Rennen 19'!$C$3:$I$26,7,FALSE))</f>
        <v>-</v>
      </c>
      <c r="X31" s="1" t="str">
        <f>IF(ISNA(VLOOKUP(C31,'Rennen 20'!$C$3:$I$26,7,FALSE)),"-",VLOOKUP(C31,'Rennen 20'!$C$3:$I$26,7,FALSE))</f>
        <v>-</v>
      </c>
      <c r="Y31" s="1" t="str">
        <f>IF(ISNA(VLOOKUP(C31,'Rennen 21'!$C$3:$I$26,7,FALSE)),"-",VLOOKUP(C31,'Rennen 21'!$C$3:$I$26,7,FALSE))</f>
        <v>-</v>
      </c>
      <c r="Z31" s="1" t="str">
        <f>IF(ISNA(VLOOKUP(C31,'Rennen 22'!$C$3:$I$26,7,FALSE)),"-",VLOOKUP(C31,'Rennen 22'!$C$3:$I$26,7,FALSE))</f>
        <v>-</v>
      </c>
      <c r="AA31" s="1"/>
      <c r="AB31" s="1"/>
      <c r="AC31" s="1"/>
      <c r="AD31" s="1"/>
      <c r="AE31" s="1"/>
      <c r="AF31" s="1"/>
      <c r="AG31" s="1"/>
      <c r="AH31" s="1"/>
    </row>
    <row r="32" spans="2:34" x14ac:dyDescent="0.25">
      <c r="B32" s="12">
        <v>30</v>
      </c>
      <c r="C32" s="12"/>
      <c r="D32" s="12">
        <f>SUM(E32:AH32)</f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 t="str">
        <f>IF(ISNA(VLOOKUP(C32,'Rennen 11'!$C$3:$I$26,7,FALSE)),"-",VLOOKUP(C32,'Rennen 11'!$C$3:$I$26,7,FALSE))</f>
        <v>-</v>
      </c>
      <c r="P32" s="1" t="str">
        <f>IF(ISNA(VLOOKUP(C32,'Rennen 12'!$C$3:$I$26,7,FALSE)),"-",VLOOKUP(C32,'Rennen 12'!$C$3:$I$26,7,FALSE))</f>
        <v>-</v>
      </c>
      <c r="Q32" s="1" t="str">
        <f>IF(ISNA(VLOOKUP(C32,'Rennen 13'!$C$3:$I$26,7,FALSE)),"-",VLOOKUP(C32,'Rennen 13'!$C$3:$I$26,7,FALSE))</f>
        <v>-</v>
      </c>
      <c r="R32" s="1" t="str">
        <f>IF(ISNA(VLOOKUP(C32,'Rennen 14'!$C$3:$I$26,7,FALSE)),"-",VLOOKUP(C32,'Rennen 14'!$C$3:$I$26,7,FALSE))</f>
        <v>-</v>
      </c>
      <c r="S32" s="1" t="str">
        <f>IF(ISNA(VLOOKUP(C32,'Rennen 15'!$C$3:$I$26,7,FALSE)),"-",VLOOKUP(C32,'Rennen 15'!$C$3:$I$26,7,FALSE))</f>
        <v>-</v>
      </c>
      <c r="T32" s="1" t="str">
        <f>IF(ISNA(VLOOKUP(C32,'Rennen 16'!$C$3:$I$26,7,FALSE)),"-",VLOOKUP(C32,'Rennen 16'!$C$3:$I$26,7,FALSE))</f>
        <v>-</v>
      </c>
      <c r="U32" s="1" t="str">
        <f>IF(ISNA(VLOOKUP(C32,'Rennen 17'!$C$3:$I$26,7,FALSE)),"-",VLOOKUP(C32,'Rennen 17'!$C$3:$I$26,7,FALSE))</f>
        <v>-</v>
      </c>
      <c r="V32" s="1" t="str">
        <f>IF(ISNA(VLOOKUP(C32,'Rennen 18'!$C$3:$I$26,7,FALSE)),"-",VLOOKUP(C32,'Rennen 18'!$C$3:$I$26,7,FALSE))</f>
        <v>-</v>
      </c>
      <c r="W32" s="1" t="str">
        <f>IF(ISNA(VLOOKUP(C32,'Rennen 19'!$C$3:$I$26,7,FALSE)),"-",VLOOKUP(C32,'Rennen 19'!$C$3:$I$26,7,FALSE))</f>
        <v>-</v>
      </c>
      <c r="X32" s="1" t="str">
        <f>IF(ISNA(VLOOKUP(C32,'Rennen 20'!$C$3:$I$26,7,FALSE)),"-",VLOOKUP(C32,'Rennen 20'!$C$3:$I$26,7,FALSE))</f>
        <v>-</v>
      </c>
      <c r="Y32" s="1" t="str">
        <f>IF(ISNA(VLOOKUP(C32,'Rennen 21'!$C$3:$I$26,7,FALSE)),"-",VLOOKUP(C32,'Rennen 21'!$C$3:$I$26,7,FALSE))</f>
        <v>-</v>
      </c>
      <c r="Z32" s="1" t="str">
        <f>IF(ISNA(VLOOKUP(C32,'Rennen 22'!$C$3:$I$26,7,FALSE)),"-",VLOOKUP(C32,'Rennen 22'!$C$3:$I$26,7,FALSE))</f>
        <v>-</v>
      </c>
      <c r="AA32" s="1"/>
      <c r="AB32" s="1"/>
      <c r="AC32" s="1"/>
      <c r="AD32" s="1"/>
      <c r="AE32" s="1"/>
      <c r="AF32" s="1"/>
      <c r="AG32" s="1"/>
      <c r="AH32" s="1"/>
    </row>
  </sheetData>
  <sortState ref="C3:AH32">
    <sortCondition descending="1" ref="D3:D32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AH32"/>
  <sheetViews>
    <sheetView workbookViewId="0">
      <selection activeCell="C2" sqref="C2:AH32"/>
    </sheetView>
  </sheetViews>
  <sheetFormatPr baseColWidth="10" defaultRowHeight="15" x14ac:dyDescent="0.25"/>
  <cols>
    <col min="1" max="1" width="18.28515625" style="1" customWidth="1"/>
    <col min="2" max="2" width="11.42578125" style="1"/>
    <col min="3" max="3" width="16.42578125" style="1" bestFit="1" customWidth="1"/>
    <col min="4" max="5" width="11.42578125" style="1"/>
    <col min="6" max="6" width="16.42578125" style="1" bestFit="1" customWidth="1"/>
    <col min="7" max="16384" width="11.42578125" style="1"/>
  </cols>
  <sheetData>
    <row r="1" spans="1:34" x14ac:dyDescent="0.25">
      <c r="A1" s="13"/>
    </row>
    <row r="2" spans="1:34" x14ac:dyDescent="0.25">
      <c r="B2" s="12" t="s">
        <v>0</v>
      </c>
      <c r="C2" s="12" t="s">
        <v>1</v>
      </c>
      <c r="D2" s="12" t="s">
        <v>2</v>
      </c>
      <c r="E2" s="12" t="s">
        <v>14</v>
      </c>
      <c r="F2" s="12" t="s">
        <v>14</v>
      </c>
      <c r="G2" s="12" t="s">
        <v>15</v>
      </c>
      <c r="H2" s="12" t="s">
        <v>15</v>
      </c>
      <c r="I2" s="12" t="s">
        <v>16</v>
      </c>
      <c r="J2" s="12" t="s">
        <v>16</v>
      </c>
      <c r="K2" s="12" t="s">
        <v>17</v>
      </c>
      <c r="L2" s="12" t="s">
        <v>17</v>
      </c>
      <c r="M2" s="12" t="s">
        <v>18</v>
      </c>
      <c r="N2" s="12" t="s">
        <v>18</v>
      </c>
      <c r="O2" s="12" t="s">
        <v>19</v>
      </c>
      <c r="P2" s="12" t="s">
        <v>19</v>
      </c>
      <c r="Q2" s="12" t="s">
        <v>20</v>
      </c>
      <c r="R2" s="12" t="s">
        <v>20</v>
      </c>
      <c r="S2" s="12" t="s">
        <v>21</v>
      </c>
      <c r="T2" s="12" t="s">
        <v>21</v>
      </c>
      <c r="U2" s="12" t="s">
        <v>22</v>
      </c>
      <c r="V2" s="12" t="s">
        <v>22</v>
      </c>
      <c r="W2" s="12" t="s">
        <v>23</v>
      </c>
      <c r="X2" s="12" t="s">
        <v>23</v>
      </c>
      <c r="Y2" s="12" t="s">
        <v>27</v>
      </c>
      <c r="Z2" s="12" t="s">
        <v>27</v>
      </c>
      <c r="AA2" s="12"/>
      <c r="AB2" s="12"/>
      <c r="AC2" s="12"/>
      <c r="AD2" s="12"/>
      <c r="AE2" s="12"/>
      <c r="AF2" s="12"/>
      <c r="AG2" s="12"/>
      <c r="AH2" s="12"/>
    </row>
    <row r="3" spans="1:34" x14ac:dyDescent="0.25">
      <c r="B3" s="12">
        <v>1</v>
      </c>
      <c r="C3" s="12" t="s">
        <v>55</v>
      </c>
      <c r="D3" s="12">
        <f>SUM(E3:AH3)</f>
        <v>224</v>
      </c>
      <c r="E3" s="1">
        <f>IF(ISNA(VLOOKUP(C3,'Rennen 1'!$C$3:$I$26,7,FALSE)),"-",VLOOKUP(C3,'Rennen 1'!$C$3:$I$26,7,FALSE))</f>
        <v>25</v>
      </c>
      <c r="F3" s="1">
        <f>IF(ISNA(VLOOKUP(C3,'Rennen 2'!$C$3:$I$26,7,FALSE)),"-",VLOOKUP(C3,'Rennen 2'!$C$3:$I$26,7,FALSE))</f>
        <v>25</v>
      </c>
      <c r="G3" s="1">
        <f>IF(ISNA(VLOOKUP(C3,'Rennen 3'!$C$3:$I$26,7,FALSE)),"-",VLOOKUP(C3,'Rennen 3'!$C$3:$I$26,7,FALSE))</f>
        <v>13</v>
      </c>
      <c r="H3" s="1">
        <f>IF(ISNA(VLOOKUP(C3,'Rennen 4'!$C$3:$I$26,7,FALSE)),"-",VLOOKUP(C3,'Rennen 4'!$C$3:$I$26,7,FALSE))</f>
        <v>13</v>
      </c>
      <c r="I3" s="1">
        <f>IF(ISNA(VLOOKUP(C3,'Rennen 5'!$C$3:$I$26,7,FALSE)),"-",VLOOKUP(C3,'Rennen 5'!$C$3:$I$26,7,FALSE))</f>
        <v>11</v>
      </c>
      <c r="J3" s="1">
        <f>IF(ISNA(VLOOKUP(C3,'Rennen 6'!$C$3:$I$26,7,FALSE)),"-",VLOOKUP(C3,'Rennen 6'!$C$3:$I$26,7,FALSE))</f>
        <v>9</v>
      </c>
      <c r="K3" s="1">
        <f>IF(ISNA(VLOOKUP(C3,'Rennen 7'!$C$3:$I$26,7,FALSE)),"-",VLOOKUP(C3,'Rennen 7'!$C$3:$I$26,7,FALSE))</f>
        <v>9</v>
      </c>
      <c r="L3" s="1">
        <f>IF(ISNA(VLOOKUP(C3,'Rennen 8'!$C$3:$I$26,7,FALSE)),"-",VLOOKUP(C3,'Rennen 8'!$C$3:$I$26,7,FALSE))</f>
        <v>9</v>
      </c>
      <c r="M3" s="1">
        <f>IF(ISNA(VLOOKUP(C3,'Rennen 9'!$C$3:$I$26,7,FALSE)),"-",VLOOKUP(C3,'Rennen 9'!$C$3:$I$26,7,FALSE))</f>
        <v>7</v>
      </c>
      <c r="N3" s="1">
        <f>IF(ISNA(VLOOKUP(C3,'Rennen 10'!$C$3:$I$26,7,FALSE)),"-",VLOOKUP(C3,'Rennen 10'!$C$3:$I$26,7,FALSE))</f>
        <v>11</v>
      </c>
      <c r="O3" s="1">
        <f>IF(ISNA(VLOOKUP(C3,'Rennen 11'!$C$3:$I$26,7,FALSE)),"-",VLOOKUP(C3,'Rennen 11'!$C$3:$I$26,7,FALSE))</f>
        <v>11</v>
      </c>
      <c r="P3" s="1">
        <f>IF(ISNA(VLOOKUP(C3,'Rennen 12'!$C$3:$I$26,7,FALSE)),"-",VLOOKUP(C3,'Rennen 12'!$C$3:$I$26,7,FALSE))</f>
        <v>11</v>
      </c>
      <c r="Q3" s="1">
        <f>IF(ISNA(VLOOKUP(C3,'Rennen 13'!$C$3:$I$26,7,FALSE)),"-",VLOOKUP(C3,'Rennen 13'!$C$3:$I$26,7,FALSE))</f>
        <v>9</v>
      </c>
      <c r="R3" s="1">
        <f>IF(ISNA(VLOOKUP(C3,'Rennen 14'!$C$3:$I$26,7,FALSE)),"-",VLOOKUP(C3,'Rennen 14'!$C$3:$I$26,7,FALSE))</f>
        <v>9</v>
      </c>
      <c r="S3" s="1">
        <f>IF(ISNA(VLOOKUP(C3,'Rennen 15'!$C$3:$I$26,7,FALSE)),"-",VLOOKUP(C3,'Rennen 15'!$C$3:$I$26,7,FALSE))</f>
        <v>16</v>
      </c>
      <c r="T3" s="1">
        <f>IF(ISNA(VLOOKUP(C3,'Rennen 16'!$C$3:$I$26,7,FALSE)),"-",VLOOKUP(C3,'Rennen 16'!$C$3:$I$26,7,FALSE))</f>
        <v>16</v>
      </c>
      <c r="U3" s="1">
        <f>IF(ISNA(VLOOKUP(C3,'Rennen 17'!$C$3:$I$26,7,FALSE)),"-",VLOOKUP(C3,'Rennen 17'!$C$3:$I$26,7,FALSE))</f>
        <v>9</v>
      </c>
      <c r="V3" s="1">
        <f>IF(ISNA(VLOOKUP(C3,'Rennen 18'!$C$3:$I$26,7,FALSE)),"-",VLOOKUP(C3,'Rennen 18'!$C$3:$I$26,7,FALSE))</f>
        <v>11</v>
      </c>
      <c r="W3" s="1" t="str">
        <f>IF(ISNA(VLOOKUP(C3,'Rennen 19'!$C$3:$I$26,7,FALSE)),"-",VLOOKUP(C3,'Rennen 19'!$C$3:$I$26,7,FALSE))</f>
        <v>-</v>
      </c>
      <c r="X3" s="1" t="str">
        <f>IF(ISNA(VLOOKUP(C3,'Rennen 20'!$C$3:$I$26,7,FALSE)),"-",VLOOKUP(C3,'Rennen 20'!$C$3:$I$26,7,FALSE))</f>
        <v>-</v>
      </c>
      <c r="Y3" s="1" t="str">
        <f>IF(ISNA(VLOOKUP(C3,'Rennen 21'!$C$3:$I$26,7,FALSE)),"-",VLOOKUP(C3,'Rennen 21'!$C$3:$I$26,7,FALSE))</f>
        <v>-</v>
      </c>
      <c r="Z3" s="1" t="str">
        <f>IF(ISNA(VLOOKUP(C3,'Rennen 22'!$C$3:$I$26,7,FALSE)),"-",VLOOKUP(C3,'Rennen 22'!$C$3:$I$26,7,FALSE))</f>
        <v>-</v>
      </c>
    </row>
    <row r="4" spans="1:34" x14ac:dyDescent="0.25">
      <c r="B4" s="12">
        <v>2</v>
      </c>
      <c r="C4" s="12" t="s">
        <v>56</v>
      </c>
      <c r="D4" s="12">
        <f t="shared" ref="D4:D32" si="0">SUM(E4:AH4)</f>
        <v>240</v>
      </c>
      <c r="E4" s="1">
        <f>IF(ISNA(VLOOKUP(C4,'Rennen 1'!$C$3:$I$26,7,FALSE)),"-",VLOOKUP(C4,'Rennen 1'!$C$3:$I$26,7,FALSE))</f>
        <v>20</v>
      </c>
      <c r="F4" s="1">
        <f>IF(ISNA(VLOOKUP(C4,'Rennen 2'!$C$3:$I$26,7,FALSE)),"-",VLOOKUP(C4,'Rennen 2'!$C$3:$I$26,7,FALSE))</f>
        <v>13</v>
      </c>
      <c r="G4" s="1">
        <f>IF(ISNA(VLOOKUP(C4,'Rennen 3'!$C$3:$I$26,7,FALSE)),"-",VLOOKUP(C4,'Rennen 3'!$C$3:$I$26,7,FALSE))</f>
        <v>20</v>
      </c>
      <c r="H4" s="1">
        <f>IF(ISNA(VLOOKUP(C4,'Rennen 4'!$C$3:$I$26,7,FALSE)),"-",VLOOKUP(C4,'Rennen 4'!$C$3:$I$26,7,FALSE))</f>
        <v>16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>
        <f>IF(ISNA(VLOOKUP(C4,'Rennen 7'!$C$3:$I$26,7,FALSE)),"-",VLOOKUP(C4,'Rennen 7'!$C$3:$I$26,7,FALSE))</f>
        <v>10</v>
      </c>
      <c r="L4" s="1">
        <f>IF(ISNA(VLOOKUP(C4,'Rennen 8'!$C$3:$I$26,7,FALSE)),"-",VLOOKUP(C4,'Rennen 8'!$C$3:$I$26,7,FALSE))</f>
        <v>6</v>
      </c>
      <c r="M4" s="1">
        <f>IF(ISNA(VLOOKUP(C4,'Rennen 9'!$C$3:$I$26,7,FALSE)),"-",VLOOKUP(C4,'Rennen 9'!$C$3:$I$26,7,FALSE))</f>
        <v>13</v>
      </c>
      <c r="N4" s="1">
        <f>IF(ISNA(VLOOKUP(C4,'Rennen 10'!$C$3:$I$26,7,FALSE)),"-",VLOOKUP(C4,'Rennen 10'!$C$3:$I$26,7,FALSE))</f>
        <v>16</v>
      </c>
      <c r="O4" s="1">
        <f>IF(ISNA(VLOOKUP(C4,'Rennen 11'!$C$3:$I$26,7,FALSE)),"-",VLOOKUP(C4,'Rennen 11'!$C$3:$I$26,7,FALSE))</f>
        <v>16</v>
      </c>
      <c r="P4" s="1">
        <f>IF(ISNA(VLOOKUP(C4,'Rennen 12'!$C$3:$I$26,7,FALSE)),"-",VLOOKUP(C4,'Rennen 12'!$C$3:$I$26,7,FALSE))</f>
        <v>6</v>
      </c>
      <c r="Q4" s="1">
        <f>IF(ISNA(VLOOKUP(C4,'Rennen 13'!$C$3:$I$26,7,FALSE)),"-",VLOOKUP(C4,'Rennen 13'!$C$3:$I$26,7,FALSE))</f>
        <v>25</v>
      </c>
      <c r="R4" s="1">
        <f>IF(ISNA(VLOOKUP(C4,'Rennen 14'!$C$3:$I$26,7,FALSE)),"-",VLOOKUP(C4,'Rennen 14'!$C$3:$I$26,7,FALSE))</f>
        <v>25</v>
      </c>
      <c r="S4" s="1">
        <f>IF(ISNA(VLOOKUP(C4,'Rennen 15'!$C$3:$I$26,7,FALSE)),"-",VLOOKUP(C4,'Rennen 15'!$C$3:$I$26,7,FALSE))</f>
        <v>10</v>
      </c>
      <c r="T4" s="1">
        <f>IF(ISNA(VLOOKUP(C4,'Rennen 16'!$C$3:$I$26,7,FALSE)),"-",VLOOKUP(C4,'Rennen 16'!$C$3:$I$26,7,FALSE))</f>
        <v>25</v>
      </c>
      <c r="U4" s="1">
        <f>IF(ISNA(VLOOKUP(C4,'Rennen 17'!$C$3:$I$26,7,FALSE)),"-",VLOOKUP(C4,'Rennen 17'!$C$3:$I$26,7,FALSE))</f>
        <v>11</v>
      </c>
      <c r="V4" s="1">
        <f>IF(ISNA(VLOOKUP(C4,'Rennen 18'!$C$3:$I$26,7,FALSE)),"-",VLOOKUP(C4,'Rennen 18'!$C$3:$I$26,7,FALSE))</f>
        <v>8</v>
      </c>
      <c r="W4" s="1" t="str">
        <f>IF(ISNA(VLOOKUP(C4,'Rennen 19'!$C$3:$I$26,7,FALSE)),"-",VLOOKUP(C4,'Rennen 19'!$C$3:$I$26,7,FALSE))</f>
        <v>-</v>
      </c>
      <c r="X4" s="1" t="str">
        <f>IF(ISNA(VLOOKUP(C4,'Rennen 20'!$C$3:$I$26,7,FALSE)),"-",VLOOKUP(C4,'Rennen 20'!$C$3:$I$26,7,FALSE))</f>
        <v>-</v>
      </c>
      <c r="Y4" s="1" t="str">
        <f>IF(ISNA(VLOOKUP(C4,'Rennen 21'!$C$3:$I$26,7,FALSE)),"-",VLOOKUP(C4,'Rennen 21'!$C$3:$I$26,7,FALSE))</f>
        <v>-</v>
      </c>
      <c r="Z4" s="1" t="str">
        <f>IF(ISNA(VLOOKUP(C4,'Rennen 22'!$C$3:$I$26,7,FALSE)),"-",VLOOKUP(C4,'Rennen 22'!$C$3:$I$26,7,FALSE))</f>
        <v>-</v>
      </c>
    </row>
    <row r="5" spans="1:34" x14ac:dyDescent="0.25">
      <c r="B5" s="12">
        <v>3</v>
      </c>
      <c r="C5" s="12" t="s">
        <v>57</v>
      </c>
      <c r="D5" s="12">
        <f t="shared" si="0"/>
        <v>215</v>
      </c>
      <c r="E5" s="1">
        <f>IF(ISNA(VLOOKUP(C5,'Rennen 1'!$C$3:$I$26,7,FALSE)),"-",VLOOKUP(C5,'Rennen 1'!$C$3:$I$26,7,FALSE))</f>
        <v>16</v>
      </c>
      <c r="F5" s="1">
        <f>IF(ISNA(VLOOKUP(C5,'Rennen 2'!$C$3:$I$26,7,FALSE)),"-",VLOOKUP(C5,'Rennen 2'!$C$3:$I$26,7,FALSE))</f>
        <v>11</v>
      </c>
      <c r="G5" s="1" t="str">
        <f>IF(ISNA(VLOOKUP(C5,'Rennen 3'!$C$3:$I$26,7,FALSE)),"-",VLOOKUP(C5,'Rennen 3'!$C$3:$I$26,7,FALSE))</f>
        <v>-</v>
      </c>
      <c r="H5" s="1" t="str">
        <f>IF(ISNA(VLOOKUP(C5,'Rennen 4'!$C$3:$I$26,7,FALSE)),"-",VLOOKUP(C5,'Rennen 4'!$C$3:$I$26,7,FALSE))</f>
        <v>-</v>
      </c>
      <c r="I5" s="1">
        <f>IF(ISNA(VLOOKUP(C5,'Rennen 5'!$C$3:$I$26,7,FALSE)),"-",VLOOKUP(C5,'Rennen 5'!$C$3:$I$26,7,FALSE))</f>
        <v>25</v>
      </c>
      <c r="J5" s="1">
        <f>IF(ISNA(VLOOKUP(C5,'Rennen 6'!$C$3:$I$26,7,FALSE)),"-",VLOOKUP(C5,'Rennen 6'!$C$3:$I$26,7,FALSE))</f>
        <v>16</v>
      </c>
      <c r="K5" s="1">
        <f>IF(ISNA(VLOOKUP(C5,'Rennen 7'!$C$3:$I$26,7,FALSE)),"-",VLOOKUP(C5,'Rennen 7'!$C$3:$I$26,7,FALSE))</f>
        <v>16</v>
      </c>
      <c r="L5" s="1">
        <f>IF(ISNA(VLOOKUP(C5,'Rennen 8'!$C$3:$I$26,7,FALSE)),"-",VLOOKUP(C5,'Rennen 8'!$C$3:$I$26,7,FALSE))</f>
        <v>11</v>
      </c>
      <c r="M5" s="1">
        <f>IF(ISNA(VLOOKUP(C5,'Rennen 9'!$C$3:$I$26,7,FALSE)),"-",VLOOKUP(C5,'Rennen 9'!$C$3:$I$26,7,FALSE))</f>
        <v>11</v>
      </c>
      <c r="N5" s="1">
        <f>IF(ISNA(VLOOKUP(C5,'Rennen 10'!$C$3:$I$26,7,FALSE)),"-",VLOOKUP(C5,'Rennen 10'!$C$3:$I$26,7,FALSE))</f>
        <v>25</v>
      </c>
      <c r="O5" s="1">
        <f>IF(ISNA(VLOOKUP(C5,'Rennen 11'!$C$3:$I$26,7,FALSE)),"-",VLOOKUP(C5,'Rennen 11'!$C$3:$I$26,7,FALSE))</f>
        <v>9</v>
      </c>
      <c r="P5" s="1">
        <f>IF(ISNA(VLOOKUP(C5,'Rennen 12'!$C$3:$I$26,7,FALSE)),"-",VLOOKUP(C5,'Rennen 12'!$C$3:$I$26,7,FALSE))</f>
        <v>16</v>
      </c>
      <c r="Q5" s="1">
        <f>IF(ISNA(VLOOKUP(C5,'Rennen 13'!$C$3:$I$26,7,FALSE)),"-",VLOOKUP(C5,'Rennen 13'!$C$3:$I$26,7,FALSE))</f>
        <v>10</v>
      </c>
      <c r="R5" s="1">
        <f>IF(ISNA(VLOOKUP(C5,'Rennen 14'!$C$3:$I$26,7,FALSE)),"-",VLOOKUP(C5,'Rennen 14'!$C$3:$I$26,7,FALSE))</f>
        <v>16</v>
      </c>
      <c r="S5" s="1" t="str">
        <f>IF(ISNA(VLOOKUP(C5,'Rennen 15'!$C$3:$I$26,7,FALSE)),"-",VLOOKUP(C5,'Rennen 15'!$C$3:$I$26,7,FALSE))</f>
        <v>-</v>
      </c>
      <c r="T5" s="1" t="str">
        <f>IF(ISNA(VLOOKUP(C5,'Rennen 16'!$C$3:$I$26,7,FALSE)),"-",VLOOKUP(C5,'Rennen 16'!$C$3:$I$26,7,FALSE))</f>
        <v>-</v>
      </c>
      <c r="U5" s="1">
        <f>IF(ISNA(VLOOKUP(C5,'Rennen 17'!$C$3:$I$26,7,FALSE)),"-",VLOOKUP(C5,'Rennen 17'!$C$3:$I$26,7,FALSE))</f>
        <v>20</v>
      </c>
      <c r="V5" s="1">
        <f>IF(ISNA(VLOOKUP(C5,'Rennen 18'!$C$3:$I$26,7,FALSE)),"-",VLOOKUP(C5,'Rennen 18'!$C$3:$I$26,7,FALSE))</f>
        <v>13</v>
      </c>
      <c r="W5" s="1" t="str">
        <f>IF(ISNA(VLOOKUP(C5,'Rennen 19'!$C$3:$I$26,7,FALSE)),"-",VLOOKUP(C5,'Rennen 19'!$C$3:$I$26,7,FALSE))</f>
        <v>-</v>
      </c>
      <c r="X5" s="1" t="str">
        <f>IF(ISNA(VLOOKUP(C5,'Rennen 20'!$C$3:$I$26,7,FALSE)),"-",VLOOKUP(C5,'Rennen 20'!$C$3:$I$26,7,FALSE))</f>
        <v>-</v>
      </c>
      <c r="Y5" s="1" t="str">
        <f>IF(ISNA(VLOOKUP(C5,'Rennen 21'!$C$3:$I$26,7,FALSE)),"-",VLOOKUP(C5,'Rennen 21'!$C$3:$I$26,7,FALSE))</f>
        <v>-</v>
      </c>
      <c r="Z5" s="1" t="str">
        <f>IF(ISNA(VLOOKUP(C5,'Rennen 22'!$C$3:$I$26,7,FALSE)),"-",VLOOKUP(C5,'Rennen 22'!$C$3:$I$26,7,FALSE))</f>
        <v>-</v>
      </c>
    </row>
    <row r="6" spans="1:34" x14ac:dyDescent="0.25">
      <c r="B6" s="12">
        <v>4</v>
      </c>
      <c r="C6" s="12" t="s">
        <v>66</v>
      </c>
      <c r="D6" s="12">
        <f t="shared" si="0"/>
        <v>259</v>
      </c>
      <c r="E6" s="1">
        <f>IF(ISNA(VLOOKUP(C6,'Rennen 1'!$C$3:$I$26,7,FALSE)),"-",VLOOKUP(C6,'Rennen 1'!$C$3:$I$26,7,FALSE))</f>
        <v>13</v>
      </c>
      <c r="F6" s="1">
        <f>IF(ISNA(VLOOKUP(C6,'Rennen 2'!$C$3:$I$26,7,FALSE)),"-",VLOOKUP(C6,'Rennen 2'!$C$3:$I$26,7,FALSE))</f>
        <v>16</v>
      </c>
      <c r="G6" s="1">
        <f>IF(ISNA(VLOOKUP(C6,'Rennen 3'!$C$3:$I$26,7,FALSE)),"-",VLOOKUP(C6,'Rennen 3'!$C$3:$I$26,7,FALSE))</f>
        <v>16</v>
      </c>
      <c r="H6" s="1">
        <f>IF(ISNA(VLOOKUP(C6,'Rennen 4'!$C$3:$I$26,7,FALSE)),"-",VLOOKUP(C6,'Rennen 4'!$C$3:$I$26,7,FALSE))</f>
        <v>20</v>
      </c>
      <c r="I6" s="1">
        <f>IF(ISNA(VLOOKUP(C6,'Rennen 5'!$C$3:$I$26,7,FALSE)),"-",VLOOKUP(C6,'Rennen 5'!$C$3:$I$26,7,FALSE))</f>
        <v>8</v>
      </c>
      <c r="J6" s="1">
        <f>IF(ISNA(VLOOKUP(C6,'Rennen 6'!$C$3:$I$26,7,FALSE)),"-",VLOOKUP(C6,'Rennen 6'!$C$3:$I$26,7,FALSE))</f>
        <v>20</v>
      </c>
      <c r="K6" s="1">
        <f>IF(ISNA(VLOOKUP(C6,'Rennen 7'!$C$3:$I$26,7,FALSE)),"-",VLOOKUP(C6,'Rennen 7'!$C$3:$I$26,7,FALSE))</f>
        <v>6</v>
      </c>
      <c r="L6" s="1">
        <f>IF(ISNA(VLOOKUP(C6,'Rennen 8'!$C$3:$I$26,7,FALSE)),"-",VLOOKUP(C6,'Rennen 8'!$C$3:$I$26,7,FALSE))</f>
        <v>7</v>
      </c>
      <c r="M6" s="1">
        <f>IF(ISNA(VLOOKUP(C6,'Rennen 9'!$C$3:$I$26,7,FALSE)),"-",VLOOKUP(C6,'Rennen 9'!$C$3:$I$26,7,FALSE))</f>
        <v>20</v>
      </c>
      <c r="N6" s="1">
        <f>IF(ISNA(VLOOKUP(C6,'Rennen 10'!$C$3:$I$26,7,FALSE)),"-",VLOOKUP(C6,'Rennen 10'!$C$3:$I$26,7,FALSE))</f>
        <v>20</v>
      </c>
      <c r="O6" s="1">
        <f>IF(ISNA(VLOOKUP(C6,'Rennen 11'!$C$3:$I$26,7,FALSE)),"-",VLOOKUP(C6,'Rennen 11'!$C$3:$I$26,7,FALSE))</f>
        <v>25</v>
      </c>
      <c r="P6" s="1">
        <f>IF(ISNA(VLOOKUP(C6,'Rennen 12'!$C$3:$I$26,7,FALSE)),"-",VLOOKUP(C6,'Rennen 12'!$C$3:$I$26,7,FALSE))</f>
        <v>13</v>
      </c>
      <c r="Q6" s="1">
        <f>IF(ISNA(VLOOKUP(C6,'Rennen 13'!$C$3:$I$26,7,FALSE)),"-",VLOOKUP(C6,'Rennen 13'!$C$3:$I$26,7,FALSE))</f>
        <v>11</v>
      </c>
      <c r="R6" s="1">
        <f>IF(ISNA(VLOOKUP(C6,'Rennen 14'!$C$3:$I$26,7,FALSE)),"-",VLOOKUP(C6,'Rennen 14'!$C$3:$I$26,7,FALSE))</f>
        <v>11</v>
      </c>
      <c r="S6" s="1">
        <f>IF(ISNA(VLOOKUP(C6,'Rennen 15'!$C$3:$I$26,7,FALSE)),"-",VLOOKUP(C6,'Rennen 15'!$C$3:$I$26,7,FALSE))</f>
        <v>20</v>
      </c>
      <c r="T6" s="1">
        <f>IF(ISNA(VLOOKUP(C6,'Rennen 16'!$C$3:$I$26,7,FALSE)),"-",VLOOKUP(C6,'Rennen 16'!$C$3:$I$26,7,FALSE))</f>
        <v>11</v>
      </c>
      <c r="U6" s="1">
        <f>IF(ISNA(VLOOKUP(C6,'Rennen 17'!$C$3:$I$26,7,FALSE)),"-",VLOOKUP(C6,'Rennen 17'!$C$3:$I$26,7,FALSE))</f>
        <v>13</v>
      </c>
      <c r="V6" s="1">
        <f>IF(ISNA(VLOOKUP(C6,'Rennen 18'!$C$3:$I$26,7,FALSE)),"-",VLOOKUP(C6,'Rennen 18'!$C$3:$I$26,7,FALSE))</f>
        <v>9</v>
      </c>
      <c r="W6" s="1" t="str">
        <f>IF(ISNA(VLOOKUP(C6,'Rennen 19'!$C$3:$I$26,7,FALSE)),"-",VLOOKUP(C6,'Rennen 19'!$C$3:$I$26,7,FALSE))</f>
        <v>-</v>
      </c>
      <c r="X6" s="1" t="str">
        <f>IF(ISNA(VLOOKUP(C6,'Rennen 20'!$C$3:$I$26,7,FALSE)),"-",VLOOKUP(C6,'Rennen 20'!$C$3:$I$26,7,FALSE))</f>
        <v>-</v>
      </c>
      <c r="Y6" s="1" t="str">
        <f>IF(ISNA(VLOOKUP(C6,'Rennen 21'!$C$3:$I$26,7,FALSE)),"-",VLOOKUP(C6,'Rennen 21'!$C$3:$I$26,7,FALSE))</f>
        <v>-</v>
      </c>
      <c r="Z6" s="1" t="str">
        <f>IF(ISNA(VLOOKUP(C6,'Rennen 22'!$C$3:$I$26,7,FALSE)),"-",VLOOKUP(C6,'Rennen 22'!$C$3:$I$26,7,FALSE))</f>
        <v>-</v>
      </c>
    </row>
    <row r="7" spans="1:34" x14ac:dyDescent="0.25">
      <c r="B7" s="12">
        <v>5</v>
      </c>
      <c r="C7" s="12" t="s">
        <v>58</v>
      </c>
      <c r="D7" s="12">
        <f t="shared" si="0"/>
        <v>280</v>
      </c>
      <c r="E7" s="1">
        <f>IF(ISNA(VLOOKUP(C7,'Rennen 1'!$C$3:$I$26,7,FALSE)),"-",VLOOKUP(C7,'Rennen 1'!$C$3:$I$26,7,FALSE))</f>
        <v>11</v>
      </c>
      <c r="F7" s="1">
        <f>IF(ISNA(VLOOKUP(C7,'Rennen 2'!$C$3:$I$26,7,FALSE)),"-",VLOOKUP(C7,'Rennen 2'!$C$3:$I$26,7,FALSE))</f>
        <v>20</v>
      </c>
      <c r="G7" s="1">
        <f>IF(ISNA(VLOOKUP(C7,'Rennen 3'!$C$3:$I$26,7,FALSE)),"-",VLOOKUP(C7,'Rennen 3'!$C$3:$I$26,7,FALSE))</f>
        <v>11</v>
      </c>
      <c r="H7" s="1">
        <f>IF(ISNA(VLOOKUP(C7,'Rennen 4'!$C$3:$I$26,7,FALSE)),"-",VLOOKUP(C7,'Rennen 4'!$C$3:$I$26,7,FALSE))</f>
        <v>11</v>
      </c>
      <c r="I7" s="1">
        <f>IF(ISNA(VLOOKUP(C7,'Rennen 5'!$C$3:$I$26,7,FALSE)),"-",VLOOKUP(C7,'Rennen 5'!$C$3:$I$26,7,FALSE))</f>
        <v>13</v>
      </c>
      <c r="J7" s="1">
        <f>IF(ISNA(VLOOKUP(C7,'Rennen 6'!$C$3:$I$26,7,FALSE)),"-",VLOOKUP(C7,'Rennen 6'!$C$3:$I$26,7,FALSE))</f>
        <v>11</v>
      </c>
      <c r="K7" s="1">
        <f>IF(ISNA(VLOOKUP(C7,'Rennen 7'!$C$3:$I$26,7,FALSE)),"-",VLOOKUP(C7,'Rennen 7'!$C$3:$I$26,7,FALSE))</f>
        <v>13</v>
      </c>
      <c r="L7" s="1">
        <f>IF(ISNA(VLOOKUP(C7,'Rennen 8'!$C$3:$I$26,7,FALSE)),"-",VLOOKUP(C7,'Rennen 8'!$C$3:$I$26,7,FALSE))</f>
        <v>10</v>
      </c>
      <c r="M7" s="1">
        <f>IF(ISNA(VLOOKUP(C7,'Rennen 9'!$C$3:$I$26,7,FALSE)),"-",VLOOKUP(C7,'Rennen 9'!$C$3:$I$26,7,FALSE))</f>
        <v>25</v>
      </c>
      <c r="N7" s="1">
        <f>IF(ISNA(VLOOKUP(C7,'Rennen 10'!$C$3:$I$26,7,FALSE)),"-",VLOOKUP(C7,'Rennen 10'!$C$3:$I$26,7,FALSE))</f>
        <v>10</v>
      </c>
      <c r="O7" s="1">
        <f>IF(ISNA(VLOOKUP(C7,'Rennen 11'!$C$3:$I$26,7,FALSE)),"-",VLOOKUP(C7,'Rennen 11'!$C$3:$I$26,7,FALSE))</f>
        <v>20</v>
      </c>
      <c r="P7" s="1">
        <f>IF(ISNA(VLOOKUP(C7,'Rennen 12'!$C$3:$I$26,7,FALSE)),"-",VLOOKUP(C7,'Rennen 12'!$C$3:$I$26,7,FALSE))</f>
        <v>25</v>
      </c>
      <c r="Q7" s="1">
        <f>IF(ISNA(VLOOKUP(C7,'Rennen 13'!$C$3:$I$26,7,FALSE)),"-",VLOOKUP(C7,'Rennen 13'!$C$3:$I$26,7,FALSE))</f>
        <v>20</v>
      </c>
      <c r="R7" s="1">
        <f>IF(ISNA(VLOOKUP(C7,'Rennen 14'!$C$3:$I$26,7,FALSE)),"-",VLOOKUP(C7,'Rennen 14'!$C$3:$I$26,7,FALSE))</f>
        <v>13</v>
      </c>
      <c r="S7" s="1">
        <f>IF(ISNA(VLOOKUP(C7,'Rennen 15'!$C$3:$I$26,7,FALSE)),"-",VLOOKUP(C7,'Rennen 15'!$C$3:$I$26,7,FALSE))</f>
        <v>25</v>
      </c>
      <c r="T7" s="1">
        <f>IF(ISNA(VLOOKUP(C7,'Rennen 16'!$C$3:$I$26,7,FALSE)),"-",VLOOKUP(C7,'Rennen 16'!$C$3:$I$26,7,FALSE))</f>
        <v>10</v>
      </c>
      <c r="U7" s="1">
        <f>IF(ISNA(VLOOKUP(C7,'Rennen 17'!$C$3:$I$26,7,FALSE)),"-",VLOOKUP(C7,'Rennen 17'!$C$3:$I$26,7,FALSE))</f>
        <v>16</v>
      </c>
      <c r="V7" s="1">
        <f>IF(ISNA(VLOOKUP(C7,'Rennen 18'!$C$3:$I$26,7,FALSE)),"-",VLOOKUP(C7,'Rennen 18'!$C$3:$I$26,7,FALSE))</f>
        <v>16</v>
      </c>
      <c r="W7" s="1" t="str">
        <f>IF(ISNA(VLOOKUP(C7,'Rennen 19'!$C$3:$I$26,7,FALSE)),"-",VLOOKUP(C7,'Rennen 19'!$C$3:$I$26,7,FALSE))</f>
        <v>-</v>
      </c>
      <c r="X7" s="1" t="str">
        <f>IF(ISNA(VLOOKUP(C7,'Rennen 20'!$C$3:$I$26,7,FALSE)),"-",VLOOKUP(C7,'Rennen 20'!$C$3:$I$26,7,FALSE))</f>
        <v>-</v>
      </c>
      <c r="Y7" s="1" t="str">
        <f>IF(ISNA(VLOOKUP(C7,'Rennen 21'!$C$3:$I$26,7,FALSE)),"-",VLOOKUP(C7,'Rennen 21'!$C$3:$I$26,7,FALSE))</f>
        <v>-</v>
      </c>
      <c r="Z7" s="1" t="str">
        <f>IF(ISNA(VLOOKUP(C7,'Rennen 22'!$C$3:$I$26,7,FALSE)),"-",VLOOKUP(C7,'Rennen 22'!$C$3:$I$26,7,FALSE))</f>
        <v>-</v>
      </c>
    </row>
    <row r="8" spans="1:34" x14ac:dyDescent="0.25">
      <c r="B8" s="12">
        <v>6</v>
      </c>
      <c r="C8" s="12" t="s">
        <v>59</v>
      </c>
      <c r="D8" s="12">
        <f t="shared" si="0"/>
        <v>84</v>
      </c>
      <c r="E8" s="1">
        <f>IF(ISNA(VLOOKUP(C8,'Rennen 1'!$C$3:$I$26,7,FALSE)),"-",VLOOKUP(C8,'Rennen 1'!$C$3:$I$26,7,FALSE))</f>
        <v>10</v>
      </c>
      <c r="F8" s="1">
        <f>IF(ISNA(VLOOKUP(C8,'Rennen 2'!$C$3:$I$26,7,FALSE)),"-",VLOOKUP(C8,'Rennen 2'!$C$3:$I$26,7,FALSE))</f>
        <v>9</v>
      </c>
      <c r="G8" s="1">
        <f>IF(ISNA(VLOOKUP(C8,'Rennen 3'!$C$3:$I$26,7,FALSE)),"-",VLOOKUP(C8,'Rennen 3'!$C$3:$I$26,7,FALSE))</f>
        <v>10</v>
      </c>
      <c r="H8" s="1">
        <f>IF(ISNA(VLOOKUP(C8,'Rennen 4'!$C$3:$I$26,7,FALSE)),"-",VLOOKUP(C8,'Rennen 4'!$C$3:$I$26,7,FALSE))</f>
        <v>10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>
        <f>IF(ISNA(VLOOKUP(C8,'Rennen 7'!$C$3:$I$26,7,FALSE)),"-",VLOOKUP(C8,'Rennen 7'!$C$3:$I$26,7,FALSE))</f>
        <v>7</v>
      </c>
      <c r="L8" s="1">
        <f>IF(ISNA(VLOOKUP(C8,'Rennen 8'!$C$3:$I$26,7,FALSE)),"-",VLOOKUP(C8,'Rennen 8'!$C$3:$I$26,7,FALSE))</f>
        <v>20</v>
      </c>
      <c r="M8" s="1">
        <f>IF(ISNA(VLOOKUP(C8,'Rennen 9'!$C$3:$I$26,7,FALSE)),"-",VLOOKUP(C8,'Rennen 9'!$C$3:$I$26,7,FALSE))</f>
        <v>10</v>
      </c>
      <c r="N8" s="1">
        <f>IF(ISNA(VLOOKUP(C8,'Rennen 10'!$C$3:$I$26,7,FALSE)),"-",VLOOKUP(C8,'Rennen 10'!$C$3:$I$26,7,FALSE))</f>
        <v>8</v>
      </c>
      <c r="O8" s="1" t="str">
        <f>IF(ISNA(VLOOKUP(C8,'Rennen 11'!$C$3:$I$26,7,FALSE)),"-",VLOOKUP(C8,'Rennen 11'!$C$3:$I$26,7,FALSE))</f>
        <v>-</v>
      </c>
      <c r="P8" s="1" t="str">
        <f>IF(ISNA(VLOOKUP(C8,'Rennen 12'!$C$3:$I$26,7,FALSE)),"-",VLOOKUP(C8,'Rennen 12'!$C$3:$I$26,7,FALSE))</f>
        <v>-</v>
      </c>
      <c r="Q8" s="1" t="str">
        <f>IF(ISNA(VLOOKUP(C8,'Rennen 13'!$C$3:$I$26,7,FALSE)),"-",VLOOKUP(C8,'Rennen 13'!$C$3:$I$26,7,FALSE))</f>
        <v>-</v>
      </c>
      <c r="R8" s="1" t="str">
        <f>IF(ISNA(VLOOKUP(C8,'Rennen 14'!$C$3:$I$26,7,FALSE)),"-",VLOOKUP(C8,'Rennen 14'!$C$3:$I$26,7,FALSE))</f>
        <v>-</v>
      </c>
      <c r="S8" s="1" t="str">
        <f>IF(ISNA(VLOOKUP(C8,'Rennen 15'!$C$3:$I$26,7,FALSE)),"-",VLOOKUP(C8,'Rennen 15'!$C$3:$I$26,7,FALSE))</f>
        <v>-</v>
      </c>
      <c r="T8" s="1" t="str">
        <f>IF(ISNA(VLOOKUP(C8,'Rennen 16'!$C$3:$I$26,7,FALSE)),"-",VLOOKUP(C8,'Rennen 16'!$C$3:$I$26,7,FALSE))</f>
        <v>-</v>
      </c>
      <c r="U8" s="1" t="str">
        <f>IF(ISNA(VLOOKUP(C8,'Rennen 17'!$C$3:$I$26,7,FALSE)),"-",VLOOKUP(C8,'Rennen 17'!$C$3:$I$26,7,FALSE))</f>
        <v>-</v>
      </c>
      <c r="V8" s="1" t="str">
        <f>IF(ISNA(VLOOKUP(C8,'Rennen 18'!$C$3:$I$26,7,FALSE)),"-",VLOOKUP(C8,'Rennen 18'!$C$3:$I$26,7,FALSE))</f>
        <v>-</v>
      </c>
      <c r="W8" s="1" t="str">
        <f>IF(ISNA(VLOOKUP(C8,'Rennen 19'!$C$3:$I$26,7,FALSE)),"-",VLOOKUP(C8,'Rennen 19'!$C$3:$I$26,7,FALSE))</f>
        <v>-</v>
      </c>
      <c r="X8" s="1" t="str">
        <f>IF(ISNA(VLOOKUP(C8,'Rennen 20'!$C$3:$I$26,7,FALSE)),"-",VLOOKUP(C8,'Rennen 20'!$C$3:$I$26,7,FALSE))</f>
        <v>-</v>
      </c>
      <c r="Y8" s="1" t="str">
        <f>IF(ISNA(VLOOKUP(C8,'Rennen 21'!$C$3:$I$26,7,FALSE)),"-",VLOOKUP(C8,'Rennen 21'!$C$3:$I$26,7,FALSE))</f>
        <v>-</v>
      </c>
      <c r="Z8" s="1" t="str">
        <f>IF(ISNA(VLOOKUP(C8,'Rennen 22'!$C$3:$I$26,7,FALSE)),"-",VLOOKUP(C8,'Rennen 22'!$C$3:$I$26,7,FALSE))</f>
        <v>-</v>
      </c>
    </row>
    <row r="9" spans="1:34" x14ac:dyDescent="0.25">
      <c r="B9" s="12">
        <v>7</v>
      </c>
      <c r="C9" s="12" t="s">
        <v>60</v>
      </c>
      <c r="D9" s="12">
        <f t="shared" si="0"/>
        <v>81</v>
      </c>
      <c r="E9" s="1">
        <f>IF(ISNA(VLOOKUP(C9,'Rennen 1'!$C$3:$I$26,7,FALSE)),"-",VLOOKUP(C9,'Rennen 1'!$C$3:$I$26,7,FALSE))</f>
        <v>9</v>
      </c>
      <c r="F9" s="1">
        <f>IF(ISNA(VLOOKUP(C9,'Rennen 2'!$C$3:$I$26,7,FALSE)),"-",VLOOKUP(C9,'Rennen 2'!$C$3:$I$26,7,FALSE))</f>
        <v>6</v>
      </c>
      <c r="G9" s="1">
        <f>IF(ISNA(VLOOKUP(C9,'Rennen 3'!$C$3:$I$26,7,FALSE)),"-",VLOOKUP(C9,'Rennen 3'!$C$3:$I$26,7,FALSE))</f>
        <v>5</v>
      </c>
      <c r="H9" s="1">
        <f>IF(ISNA(VLOOKUP(C9,'Rennen 4'!$C$3:$I$26,7,FALSE)),"-",VLOOKUP(C9,'Rennen 4'!$C$3:$I$26,7,FALSE))</f>
        <v>5</v>
      </c>
      <c r="I9" s="1">
        <f>IF(ISNA(VLOOKUP(C9,'Rennen 5'!$C$3:$I$26,7,FALSE)),"-",VLOOKUP(C9,'Rennen 5'!$C$3:$I$26,7,FALSE))</f>
        <v>7</v>
      </c>
      <c r="J9" s="1">
        <f>IF(ISNA(VLOOKUP(C9,'Rennen 6'!$C$3:$I$26,7,FALSE)),"-",VLOOKUP(C9,'Rennen 6'!$C$3:$I$26,7,FALSE))</f>
        <v>7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>
        <f>IF(ISNA(VLOOKUP(C9,'Rennen 11'!$C$3:$I$26,7,FALSE)),"-",VLOOKUP(C9,'Rennen 11'!$C$3:$I$26,7,FALSE))</f>
        <v>10</v>
      </c>
      <c r="P9" s="1">
        <f>IF(ISNA(VLOOKUP(C9,'Rennen 12'!$C$3:$I$26,7,FALSE)),"-",VLOOKUP(C9,'Rennen 12'!$C$3:$I$26,7,FALSE))</f>
        <v>8</v>
      </c>
      <c r="Q9" s="1" t="str">
        <f>IF(ISNA(VLOOKUP(C9,'Rennen 13'!$C$3:$I$26,7,FALSE)),"-",VLOOKUP(C9,'Rennen 13'!$C$3:$I$26,7,FALSE))</f>
        <v>-</v>
      </c>
      <c r="R9" s="1" t="str">
        <f>IF(ISNA(VLOOKUP(C9,'Rennen 14'!$C$3:$I$26,7,FALSE)),"-",VLOOKUP(C9,'Rennen 14'!$C$3:$I$26,7,FALSE))</f>
        <v>-</v>
      </c>
      <c r="S9" s="1">
        <f>IF(ISNA(VLOOKUP(C9,'Rennen 15'!$C$3:$I$26,7,FALSE)),"-",VLOOKUP(C9,'Rennen 15'!$C$3:$I$26,7,FALSE))</f>
        <v>11</v>
      </c>
      <c r="T9" s="1">
        <f>IF(ISNA(VLOOKUP(C9,'Rennen 16'!$C$3:$I$26,7,FALSE)),"-",VLOOKUP(C9,'Rennen 16'!$C$3:$I$26,7,FALSE))</f>
        <v>13</v>
      </c>
      <c r="U9" s="1" t="str">
        <f>IF(ISNA(VLOOKUP(C9,'Rennen 17'!$C$3:$I$26,7,FALSE)),"-",VLOOKUP(C9,'Rennen 17'!$C$3:$I$26,7,FALSE))</f>
        <v>-</v>
      </c>
      <c r="V9" s="1" t="str">
        <f>IF(ISNA(VLOOKUP(C9,'Rennen 18'!$C$3:$I$26,7,FALSE)),"-",VLOOKUP(C9,'Rennen 18'!$C$3:$I$26,7,FALSE))</f>
        <v>-</v>
      </c>
      <c r="W9" s="1" t="str">
        <f>IF(ISNA(VLOOKUP(C9,'Rennen 19'!$C$3:$I$26,7,FALSE)),"-",VLOOKUP(C9,'Rennen 19'!$C$3:$I$26,7,FALSE))</f>
        <v>-</v>
      </c>
      <c r="X9" s="1" t="str">
        <f>IF(ISNA(VLOOKUP(C9,'Rennen 20'!$C$3:$I$26,7,FALSE)),"-",VLOOKUP(C9,'Rennen 20'!$C$3:$I$26,7,FALSE))</f>
        <v>-</v>
      </c>
      <c r="Y9" s="1" t="str">
        <f>IF(ISNA(VLOOKUP(C9,'Rennen 21'!$C$3:$I$26,7,FALSE)),"-",VLOOKUP(C9,'Rennen 21'!$C$3:$I$26,7,FALSE))</f>
        <v>-</v>
      </c>
      <c r="Z9" s="1" t="str">
        <f>IF(ISNA(VLOOKUP(C9,'Rennen 22'!$C$3:$I$26,7,FALSE)),"-",VLOOKUP(C9,'Rennen 22'!$C$3:$I$26,7,FALSE))</f>
        <v>-</v>
      </c>
    </row>
    <row r="10" spans="1:34" x14ac:dyDescent="0.25">
      <c r="B10" s="12">
        <v>8</v>
      </c>
      <c r="C10" s="12" t="s">
        <v>61</v>
      </c>
      <c r="D10" s="12">
        <f t="shared" si="0"/>
        <v>118</v>
      </c>
      <c r="E10" s="1">
        <f>IF(ISNA(VLOOKUP(C10,'Rennen 1'!$C$3:$I$26,7,FALSE)),"-",VLOOKUP(C10,'Rennen 1'!$C$3:$I$26,7,FALSE))</f>
        <v>8</v>
      </c>
      <c r="F10" s="1">
        <f>IF(ISNA(VLOOKUP(C10,'Rennen 2'!$C$3:$I$26,7,FALSE)),"-",VLOOKUP(C10,'Rennen 2'!$C$3:$I$26,7,FALSE))</f>
        <v>5</v>
      </c>
      <c r="G10" s="1">
        <f>IF(ISNA(VLOOKUP(C10,'Rennen 3'!$C$3:$I$26,7,FALSE)),"-",VLOOKUP(C10,'Rennen 3'!$C$3:$I$26,7,FALSE))</f>
        <v>6</v>
      </c>
      <c r="H10" s="1">
        <f>IF(ISNA(VLOOKUP(C10,'Rennen 4'!$C$3:$I$26,7,FALSE)),"-",VLOOKUP(C10,'Rennen 4'!$C$3:$I$26,7,FALSE))</f>
        <v>6</v>
      </c>
      <c r="I10" s="1">
        <f>IF(ISNA(VLOOKUP(C10,'Rennen 5'!$C$3:$I$26,7,FALSE)),"-",VLOOKUP(C10,'Rennen 5'!$C$3:$I$26,7,FALSE))</f>
        <v>9</v>
      </c>
      <c r="J10" s="1">
        <f>IF(ISNA(VLOOKUP(C10,'Rennen 6'!$C$3:$I$26,7,FALSE)),"-",VLOOKUP(C10,'Rennen 6'!$C$3:$I$26,7,FALSE))</f>
        <v>10</v>
      </c>
      <c r="K10" s="1">
        <f>IF(ISNA(VLOOKUP(C10,'Rennen 7'!$C$3:$I$26,7,FALSE)),"-",VLOOKUP(C10,'Rennen 7'!$C$3:$I$26,7,FALSE))</f>
        <v>8</v>
      </c>
      <c r="L10" s="1">
        <f>IF(ISNA(VLOOKUP(C10,'Rennen 8'!$C$3:$I$26,7,FALSE)),"-",VLOOKUP(C10,'Rennen 8'!$C$3:$I$26,7,FALSE))</f>
        <v>16</v>
      </c>
      <c r="M10" s="1">
        <f>IF(ISNA(VLOOKUP(C10,'Rennen 9'!$C$3:$I$26,7,FALSE)),"-",VLOOKUP(C10,'Rennen 9'!$C$3:$I$26,7,FALSE))</f>
        <v>9</v>
      </c>
      <c r="N10" s="1">
        <f>IF(ISNA(VLOOKUP(C10,'Rennen 10'!$C$3:$I$26,7,FALSE)),"-",VLOOKUP(C10,'Rennen 10'!$C$3:$I$26,7,FALSE))</f>
        <v>9</v>
      </c>
      <c r="O10" s="1">
        <f>IF(ISNA(VLOOKUP(C10,'Rennen 11'!$C$3:$I$26,7,FALSE)),"-",VLOOKUP(C10,'Rennen 11'!$C$3:$I$26,7,FALSE))</f>
        <v>8</v>
      </c>
      <c r="P10" s="1">
        <f>IF(ISNA(VLOOKUP(C10,'Rennen 12'!$C$3:$I$26,7,FALSE)),"-",VLOOKUP(C10,'Rennen 12'!$C$3:$I$26,7,FALSE))</f>
        <v>10</v>
      </c>
      <c r="Q10" s="1">
        <f>IF(ISNA(VLOOKUP(C10,'Rennen 13'!$C$3:$I$26,7,FALSE)),"-",VLOOKUP(C10,'Rennen 13'!$C$3:$I$26,7,FALSE))</f>
        <v>7</v>
      </c>
      <c r="R10" s="1">
        <f>IF(ISNA(VLOOKUP(C10,'Rennen 14'!$C$3:$I$26,7,FALSE)),"-",VLOOKUP(C10,'Rennen 14'!$C$3:$I$26,7,FALSE))</f>
        <v>7</v>
      </c>
      <c r="S10" s="1" t="str">
        <f>IF(ISNA(VLOOKUP(C10,'Rennen 15'!$C$3:$I$26,7,FALSE)),"-",VLOOKUP(C10,'Rennen 15'!$C$3:$I$26,7,FALSE))</f>
        <v>-</v>
      </c>
      <c r="T10" s="1" t="str">
        <f>IF(ISNA(VLOOKUP(C10,'Rennen 16'!$C$3:$I$26,7,FALSE)),"-",VLOOKUP(C10,'Rennen 16'!$C$3:$I$26,7,FALSE))</f>
        <v>-</v>
      </c>
      <c r="U10" s="1" t="str">
        <f>IF(ISNA(VLOOKUP(C10,'Rennen 17'!$C$3:$I$26,7,FALSE)),"-",VLOOKUP(C10,'Rennen 17'!$C$3:$I$26,7,FALSE))</f>
        <v>-</v>
      </c>
      <c r="V10" s="1" t="str">
        <f>IF(ISNA(VLOOKUP(C10,'Rennen 18'!$C$3:$I$26,7,FALSE)),"-",VLOOKUP(C10,'Rennen 18'!$C$3:$I$26,7,FALSE))</f>
        <v>-</v>
      </c>
      <c r="W10" s="1" t="str">
        <f>IF(ISNA(VLOOKUP(C10,'Rennen 19'!$C$3:$I$26,7,FALSE)),"-",VLOOKUP(C10,'Rennen 19'!$C$3:$I$26,7,FALSE))</f>
        <v>-</v>
      </c>
      <c r="X10" s="1" t="str">
        <f>IF(ISNA(VLOOKUP(C10,'Rennen 20'!$C$3:$I$26,7,FALSE)),"-",VLOOKUP(C10,'Rennen 20'!$C$3:$I$26,7,FALSE))</f>
        <v>-</v>
      </c>
      <c r="Y10" s="1" t="str">
        <f>IF(ISNA(VLOOKUP(C10,'Rennen 21'!$C$3:$I$26,7,FALSE)),"-",VLOOKUP(C10,'Rennen 21'!$C$3:$I$26,7,FALSE))</f>
        <v>-</v>
      </c>
      <c r="Z10" s="1" t="str">
        <f>IF(ISNA(VLOOKUP(C10,'Rennen 22'!$C$3:$I$26,7,FALSE)),"-",VLOOKUP(C10,'Rennen 22'!$C$3:$I$26,7,FALSE))</f>
        <v>-</v>
      </c>
    </row>
    <row r="11" spans="1:34" x14ac:dyDescent="0.25">
      <c r="B11" s="12">
        <v>9</v>
      </c>
      <c r="C11" s="12" t="s">
        <v>62</v>
      </c>
      <c r="D11" s="12">
        <f t="shared" si="0"/>
        <v>121</v>
      </c>
      <c r="E11" s="1">
        <f>IF(ISNA(VLOOKUP(C11,'Rennen 1'!$C$3:$I$26,7,FALSE)),"-",VLOOKUP(C11,'Rennen 1'!$C$3:$I$26,7,FALSE))</f>
        <v>7</v>
      </c>
      <c r="F11" s="1">
        <f>IF(ISNA(VLOOKUP(C11,'Rennen 2'!$C$3:$I$26,7,FALSE)),"-",VLOOKUP(C11,'Rennen 2'!$C$3:$I$26,7,FALSE))</f>
        <v>8</v>
      </c>
      <c r="G11" s="1">
        <f>IF(ISNA(VLOOKUP(C11,'Rennen 3'!$C$3:$I$26,7,FALSE)),"-",VLOOKUP(C11,'Rennen 3'!$C$3:$I$26,7,FALSE))</f>
        <v>9</v>
      </c>
      <c r="H11" s="1">
        <f>IF(ISNA(VLOOKUP(C11,'Rennen 4'!$C$3:$I$26,7,FALSE)),"-",VLOOKUP(C11,'Rennen 4'!$C$3:$I$26,7,FALSE))</f>
        <v>9</v>
      </c>
      <c r="I11" s="1">
        <f>IF(ISNA(VLOOKUP(C11,'Rennen 5'!$C$3:$I$26,7,FALSE)),"-",VLOOKUP(C11,'Rennen 5'!$C$3:$I$26,7,FALSE))</f>
        <v>10</v>
      </c>
      <c r="J11" s="1">
        <f>IF(ISNA(VLOOKUP(C11,'Rennen 6'!$C$3:$I$26,7,FALSE)),"-",VLOOKUP(C11,'Rennen 6'!$C$3:$I$26,7,FALSE))</f>
        <v>8</v>
      </c>
      <c r="K11" s="1">
        <f>IF(ISNA(VLOOKUP(C11,'Rennen 7'!$C$3:$I$26,7,FALSE)),"-",VLOOKUP(C11,'Rennen 7'!$C$3:$I$26,7,FALSE))</f>
        <v>11</v>
      </c>
      <c r="L11" s="1">
        <f>IF(ISNA(VLOOKUP(C11,'Rennen 8'!$C$3:$I$26,7,FALSE)),"-",VLOOKUP(C11,'Rennen 8'!$C$3:$I$26,7,FALSE))</f>
        <v>8</v>
      </c>
      <c r="M11" s="1">
        <f>IF(ISNA(VLOOKUP(C11,'Rennen 9'!$C$3:$I$26,7,FALSE)),"-",VLOOKUP(C11,'Rennen 9'!$C$3:$I$26,7,FALSE))</f>
        <v>8</v>
      </c>
      <c r="N11" s="1">
        <f>IF(ISNA(VLOOKUP(C11,'Rennen 10'!$C$3:$I$26,7,FALSE)),"-",VLOOKUP(C11,'Rennen 10'!$C$3:$I$26,7,FALSE))</f>
        <v>7</v>
      </c>
      <c r="O11" s="1">
        <f>IF(ISNA(VLOOKUP(C11,'Rennen 11'!$C$3:$I$26,7,FALSE)),"-",VLOOKUP(C11,'Rennen 11'!$C$3:$I$26,7,FALSE))</f>
        <v>6</v>
      </c>
      <c r="P11" s="1">
        <f>IF(ISNA(VLOOKUP(C11,'Rennen 12'!$C$3:$I$26,7,FALSE)),"-",VLOOKUP(C11,'Rennen 12'!$C$3:$I$26,7,FALSE))</f>
        <v>7</v>
      </c>
      <c r="Q11" s="1">
        <f>IF(ISNA(VLOOKUP(C11,'Rennen 13'!$C$3:$I$26,7,FALSE)),"-",VLOOKUP(C11,'Rennen 13'!$C$3:$I$26,7,FALSE))</f>
        <v>13</v>
      </c>
      <c r="R11" s="1">
        <f>IF(ISNA(VLOOKUP(C11,'Rennen 14'!$C$3:$I$26,7,FALSE)),"-",VLOOKUP(C11,'Rennen 14'!$C$3:$I$26,7,FALSE))</f>
        <v>10</v>
      </c>
      <c r="S11" s="1" t="str">
        <f>IF(ISNA(VLOOKUP(C11,'Rennen 15'!$C$3:$I$26,7,FALSE)),"-",VLOOKUP(C11,'Rennen 15'!$C$3:$I$26,7,FALSE))</f>
        <v>-</v>
      </c>
      <c r="T11" s="1" t="str">
        <f>IF(ISNA(VLOOKUP(C11,'Rennen 16'!$C$3:$I$26,7,FALSE)),"-",VLOOKUP(C11,'Rennen 16'!$C$3:$I$26,7,FALSE))</f>
        <v>-</v>
      </c>
      <c r="U11" s="1" t="str">
        <f>IF(ISNA(VLOOKUP(C11,'Rennen 17'!$C$3:$I$26,7,FALSE)),"-",VLOOKUP(C11,'Rennen 17'!$C$3:$I$26,7,FALSE))</f>
        <v>-</v>
      </c>
      <c r="V11" s="1" t="str">
        <f>IF(ISNA(VLOOKUP(C11,'Rennen 18'!$C$3:$I$26,7,FALSE)),"-",VLOOKUP(C11,'Rennen 18'!$C$3:$I$26,7,FALSE))</f>
        <v>-</v>
      </c>
      <c r="W11" s="1" t="str">
        <f>IF(ISNA(VLOOKUP(C11,'Rennen 19'!$C$3:$I$26,7,FALSE)),"-",VLOOKUP(C11,'Rennen 19'!$C$3:$I$26,7,FALSE))</f>
        <v>-</v>
      </c>
      <c r="X11" s="1" t="str">
        <f>IF(ISNA(VLOOKUP(C11,'Rennen 20'!$C$3:$I$26,7,FALSE)),"-",VLOOKUP(C11,'Rennen 20'!$C$3:$I$26,7,FALSE))</f>
        <v>-</v>
      </c>
      <c r="Y11" s="1" t="str">
        <f>IF(ISNA(VLOOKUP(C11,'Rennen 21'!$C$3:$I$26,7,FALSE)),"-",VLOOKUP(C11,'Rennen 21'!$C$3:$I$26,7,FALSE))</f>
        <v>-</v>
      </c>
      <c r="Z11" s="1" t="str">
        <f>IF(ISNA(VLOOKUP(C11,'Rennen 22'!$C$3:$I$26,7,FALSE)),"-",VLOOKUP(C11,'Rennen 22'!$C$3:$I$26,7,FALSE))</f>
        <v>-</v>
      </c>
    </row>
    <row r="12" spans="1:34" x14ac:dyDescent="0.25">
      <c r="B12" s="12">
        <v>10</v>
      </c>
      <c r="C12" s="12" t="s">
        <v>63</v>
      </c>
      <c r="D12" s="12">
        <f t="shared" si="0"/>
        <v>10</v>
      </c>
      <c r="E12" s="1">
        <f>IF(ISNA(VLOOKUP(C12,'Rennen 1'!$C$3:$I$26,7,FALSE)),"-",VLOOKUP(C12,'Rennen 1'!$C$3:$I$26,7,FALSE))</f>
        <v>6</v>
      </c>
      <c r="F12" s="1">
        <f>IF(ISNA(VLOOKUP(C12,'Rennen 2'!$C$3:$I$26,7,FALSE)),"-",VLOOKUP(C12,'Rennen 2'!$C$3:$I$26,7,FALSE))</f>
        <v>4</v>
      </c>
      <c r="G12" s="1" t="str">
        <f>IF(ISNA(VLOOKUP(C12,'Rennen 3'!$C$3:$I$26,7,FALSE)),"-",VLOOKUP(C12,'Rennen 3'!$C$3:$I$26,7,FALSE))</f>
        <v>-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 t="str">
        <f>IF(ISNA(VLOOKUP(C12,'Rennen 11'!$C$3:$I$26,7,FALSE)),"-",VLOOKUP(C12,'Rennen 11'!$C$3:$I$26,7,FALSE))</f>
        <v>-</v>
      </c>
      <c r="P12" s="1" t="str">
        <f>IF(ISNA(VLOOKUP(C12,'Rennen 12'!$C$3:$I$26,7,FALSE)),"-",VLOOKUP(C12,'Rennen 12'!$C$3:$I$26,7,FALSE))</f>
        <v>-</v>
      </c>
      <c r="Q12" s="1" t="str">
        <f>IF(ISNA(VLOOKUP(C12,'Rennen 13'!$C$3:$I$26,7,FALSE)),"-",VLOOKUP(C12,'Rennen 13'!$C$3:$I$26,7,FALSE))</f>
        <v>-</v>
      </c>
      <c r="R12" s="1" t="str">
        <f>IF(ISNA(VLOOKUP(C12,'Rennen 14'!$C$3:$I$26,7,FALSE)),"-",VLOOKUP(C12,'Rennen 14'!$C$3:$I$26,7,FALSE))</f>
        <v>-</v>
      </c>
      <c r="S12" s="1" t="str">
        <f>IF(ISNA(VLOOKUP(C12,'Rennen 15'!$C$3:$I$26,7,FALSE)),"-",VLOOKUP(C12,'Rennen 15'!$C$3:$I$26,7,FALSE))</f>
        <v>-</v>
      </c>
      <c r="T12" s="1" t="str">
        <f>IF(ISNA(VLOOKUP(C12,'Rennen 16'!$C$3:$I$26,7,FALSE)),"-",VLOOKUP(C12,'Rennen 16'!$C$3:$I$26,7,FALSE))</f>
        <v>-</v>
      </c>
      <c r="U12" s="1" t="str">
        <f>IF(ISNA(VLOOKUP(C12,'Rennen 17'!$C$3:$I$26,7,FALSE)),"-",VLOOKUP(C12,'Rennen 17'!$C$3:$I$26,7,FALSE))</f>
        <v>-</v>
      </c>
      <c r="V12" s="1" t="str">
        <f>IF(ISNA(VLOOKUP(C12,'Rennen 18'!$C$3:$I$26,7,FALSE)),"-",VLOOKUP(C12,'Rennen 18'!$C$3:$I$26,7,FALSE))</f>
        <v>-</v>
      </c>
      <c r="W12" s="1" t="str">
        <f>IF(ISNA(VLOOKUP(C12,'Rennen 19'!$C$3:$I$26,7,FALSE)),"-",VLOOKUP(C12,'Rennen 19'!$C$3:$I$26,7,FALSE))</f>
        <v>-</v>
      </c>
      <c r="X12" s="1" t="str">
        <f>IF(ISNA(VLOOKUP(C12,'Rennen 20'!$C$3:$I$26,7,FALSE)),"-",VLOOKUP(C12,'Rennen 20'!$C$3:$I$26,7,FALSE))</f>
        <v>-</v>
      </c>
      <c r="Y12" s="1" t="str">
        <f>IF(ISNA(VLOOKUP(C12,'Rennen 21'!$C$3:$I$26,7,FALSE)),"-",VLOOKUP(C12,'Rennen 21'!$C$3:$I$26,7,FALSE))</f>
        <v>-</v>
      </c>
      <c r="Z12" s="1" t="str">
        <f>IF(ISNA(VLOOKUP(C12,'Rennen 22'!$C$3:$I$26,7,FALSE)),"-",VLOOKUP(C12,'Rennen 22'!$C$3:$I$26,7,FALSE))</f>
        <v>-</v>
      </c>
    </row>
    <row r="13" spans="1:34" x14ac:dyDescent="0.25">
      <c r="B13" s="12">
        <v>11</v>
      </c>
      <c r="C13" s="12" t="s">
        <v>64</v>
      </c>
      <c r="D13" s="12">
        <f t="shared" si="0"/>
        <v>27</v>
      </c>
      <c r="E13" s="1">
        <f>IF(ISNA(VLOOKUP(C13,'Rennen 1'!$C$3:$I$26,7,FALSE)),"-",VLOOKUP(C13,'Rennen 1'!$C$3:$I$26,7,FALSE))</f>
        <v>5</v>
      </c>
      <c r="F13" s="1">
        <f>IF(ISNA(VLOOKUP(C13,'Rennen 2'!$C$3:$I$26,7,FALSE)),"-",VLOOKUP(C13,'Rennen 2'!$C$3:$I$26,7,FALSE))</f>
        <v>7</v>
      </c>
      <c r="G13" s="1">
        <f>IF(ISNA(VLOOKUP(C13,'Rennen 3'!$C$3:$I$26,7,FALSE)),"-",VLOOKUP(C13,'Rennen 3'!$C$3:$I$26,7,FALSE))</f>
        <v>8</v>
      </c>
      <c r="H13" s="1">
        <f>IF(ISNA(VLOOKUP(C13,'Rennen 4'!$C$3:$I$26,7,FALSE)),"-",VLOOKUP(C13,'Rennen 4'!$C$3:$I$26,7,FALSE))</f>
        <v>7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  <c r="O13" s="1" t="str">
        <f>IF(ISNA(VLOOKUP(C13,'Rennen 11'!$C$3:$I$26,7,FALSE)),"-",VLOOKUP(C13,'Rennen 11'!$C$3:$I$26,7,FALSE))</f>
        <v>-</v>
      </c>
      <c r="P13" s="1" t="str">
        <f>IF(ISNA(VLOOKUP(C13,'Rennen 12'!$C$3:$I$26,7,FALSE)),"-",VLOOKUP(C13,'Rennen 12'!$C$3:$I$26,7,FALSE))</f>
        <v>-</v>
      </c>
      <c r="Q13" s="1" t="str">
        <f>IF(ISNA(VLOOKUP(C13,'Rennen 13'!$C$3:$I$26,7,FALSE)),"-",VLOOKUP(C13,'Rennen 13'!$C$3:$I$26,7,FALSE))</f>
        <v>-</v>
      </c>
      <c r="R13" s="1" t="str">
        <f>IF(ISNA(VLOOKUP(C13,'Rennen 14'!$C$3:$I$26,7,FALSE)),"-",VLOOKUP(C13,'Rennen 14'!$C$3:$I$26,7,FALSE))</f>
        <v>-</v>
      </c>
      <c r="S13" s="1" t="str">
        <f>IF(ISNA(VLOOKUP(C13,'Rennen 15'!$C$3:$I$26,7,FALSE)),"-",VLOOKUP(C13,'Rennen 15'!$C$3:$I$26,7,FALSE))</f>
        <v>-</v>
      </c>
      <c r="T13" s="1" t="str">
        <f>IF(ISNA(VLOOKUP(C13,'Rennen 16'!$C$3:$I$26,7,FALSE)),"-",VLOOKUP(C13,'Rennen 16'!$C$3:$I$26,7,FALSE))</f>
        <v>-</v>
      </c>
      <c r="U13" s="1" t="str">
        <f>IF(ISNA(VLOOKUP(C13,'Rennen 17'!$C$3:$I$26,7,FALSE)),"-",VLOOKUP(C13,'Rennen 17'!$C$3:$I$26,7,FALSE))</f>
        <v>-</v>
      </c>
      <c r="V13" s="1" t="str">
        <f>IF(ISNA(VLOOKUP(C13,'Rennen 18'!$C$3:$I$26,7,FALSE)),"-",VLOOKUP(C13,'Rennen 18'!$C$3:$I$26,7,FALSE))</f>
        <v>-</v>
      </c>
      <c r="W13" s="1" t="str">
        <f>IF(ISNA(VLOOKUP(C13,'Rennen 19'!$C$3:$I$26,7,FALSE)),"-",VLOOKUP(C13,'Rennen 19'!$C$3:$I$26,7,FALSE))</f>
        <v>-</v>
      </c>
      <c r="X13" s="1" t="str">
        <f>IF(ISNA(VLOOKUP(C13,'Rennen 20'!$C$3:$I$26,7,FALSE)),"-",VLOOKUP(C13,'Rennen 20'!$C$3:$I$26,7,FALSE))</f>
        <v>-</v>
      </c>
      <c r="Y13" s="1" t="str">
        <f>IF(ISNA(VLOOKUP(C13,'Rennen 21'!$C$3:$I$26,7,FALSE)),"-",VLOOKUP(C13,'Rennen 21'!$C$3:$I$26,7,FALSE))</f>
        <v>-</v>
      </c>
      <c r="Z13" s="1" t="str">
        <f>IF(ISNA(VLOOKUP(C13,'Rennen 22'!$C$3:$I$26,7,FALSE)),"-",VLOOKUP(C13,'Rennen 22'!$C$3:$I$26,7,FALSE))</f>
        <v>-</v>
      </c>
    </row>
    <row r="14" spans="1:34" x14ac:dyDescent="0.25">
      <c r="B14" s="12">
        <v>12</v>
      </c>
      <c r="C14" s="12" t="s">
        <v>65</v>
      </c>
      <c r="D14" s="12">
        <f t="shared" si="0"/>
        <v>14</v>
      </c>
      <c r="E14" s="1">
        <f>IF(ISNA(VLOOKUP(C14,'Rennen 1'!$C$3:$I$26,7,FALSE)),"-",VLOOKUP(C14,'Rennen 1'!$C$3:$I$26,7,FALSE))</f>
        <v>4</v>
      </c>
      <c r="F14" s="1">
        <f>IF(ISNA(VLOOKUP(C14,'Rennen 2'!$C$3:$I$26,7,FALSE)),"-",VLOOKUP(C14,'Rennen 2'!$C$3:$I$26,7,FALSE))</f>
        <v>10</v>
      </c>
      <c r="G14" s="1" t="str">
        <f>IF(ISNA(VLOOKUP(C14,'Rennen 3'!$C$3:$I$26,7,FALSE)),"-",VLOOKUP(C14,'Rennen 3'!$C$3:$I$26,7,FALSE))</f>
        <v>-</v>
      </c>
      <c r="H14" s="1" t="str">
        <f>IF(ISNA(VLOOKUP(C14,'Rennen 4'!$C$3:$I$26,7,FALSE)),"-",VLOOKUP(C14,'Rennen 4'!$C$3:$I$26,7,FALSE))</f>
        <v>-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 t="str">
        <f>IF(ISNA(VLOOKUP(C14,'Rennen 11'!$C$3:$I$26,7,FALSE)),"-",VLOOKUP(C14,'Rennen 11'!$C$3:$I$26,7,FALSE))</f>
        <v>-</v>
      </c>
      <c r="P14" s="1" t="str">
        <f>IF(ISNA(VLOOKUP(C14,'Rennen 12'!$C$3:$I$26,7,FALSE)),"-",VLOOKUP(C14,'Rennen 12'!$C$3:$I$26,7,FALSE))</f>
        <v>-</v>
      </c>
      <c r="Q14" s="1" t="str">
        <f>IF(ISNA(VLOOKUP(C14,'Rennen 13'!$C$3:$I$26,7,FALSE)),"-",VLOOKUP(C14,'Rennen 13'!$C$3:$I$26,7,FALSE))</f>
        <v>-</v>
      </c>
      <c r="R14" s="1" t="str">
        <f>IF(ISNA(VLOOKUP(C14,'Rennen 14'!$C$3:$I$26,7,FALSE)),"-",VLOOKUP(C14,'Rennen 14'!$C$3:$I$26,7,FALSE))</f>
        <v>-</v>
      </c>
      <c r="S14" s="1" t="str">
        <f>IF(ISNA(VLOOKUP(C14,'Rennen 15'!$C$3:$I$26,7,FALSE)),"-",VLOOKUP(C14,'Rennen 15'!$C$3:$I$26,7,FALSE))</f>
        <v>-</v>
      </c>
      <c r="T14" s="1" t="str">
        <f>IF(ISNA(VLOOKUP(C14,'Rennen 16'!$C$3:$I$26,7,FALSE)),"-",VLOOKUP(C14,'Rennen 16'!$C$3:$I$26,7,FALSE))</f>
        <v>-</v>
      </c>
      <c r="U14" s="1" t="str">
        <f>IF(ISNA(VLOOKUP(C14,'Rennen 17'!$C$3:$I$26,7,FALSE)),"-",VLOOKUP(C14,'Rennen 17'!$C$3:$I$26,7,FALSE))</f>
        <v>-</v>
      </c>
      <c r="V14" s="1" t="str">
        <f>IF(ISNA(VLOOKUP(C14,'Rennen 18'!$C$3:$I$26,7,FALSE)),"-",VLOOKUP(C14,'Rennen 18'!$C$3:$I$26,7,FALSE))</f>
        <v>-</v>
      </c>
      <c r="W14" s="1" t="str">
        <f>IF(ISNA(VLOOKUP(C14,'Rennen 19'!$C$3:$I$26,7,FALSE)),"-",VLOOKUP(C14,'Rennen 19'!$C$3:$I$26,7,FALSE))</f>
        <v>-</v>
      </c>
      <c r="X14" s="1" t="str">
        <f>IF(ISNA(VLOOKUP(C14,'Rennen 20'!$C$3:$I$26,7,FALSE)),"-",VLOOKUP(C14,'Rennen 20'!$C$3:$I$26,7,FALSE))</f>
        <v>-</v>
      </c>
      <c r="Y14" s="1" t="str">
        <f>IF(ISNA(VLOOKUP(C14,'Rennen 21'!$C$3:$I$26,7,FALSE)),"-",VLOOKUP(C14,'Rennen 21'!$C$3:$I$26,7,FALSE))</f>
        <v>-</v>
      </c>
      <c r="Z14" s="1" t="str">
        <f>IF(ISNA(VLOOKUP(C14,'Rennen 22'!$C$3:$I$26,7,FALSE)),"-",VLOOKUP(C14,'Rennen 22'!$C$3:$I$26,7,FALSE))</f>
        <v>-</v>
      </c>
    </row>
    <row r="15" spans="1:34" x14ac:dyDescent="0.25">
      <c r="B15" s="12">
        <v>13</v>
      </c>
      <c r="C15" s="12" t="s">
        <v>83</v>
      </c>
      <c r="D15" s="12">
        <f t="shared" si="0"/>
        <v>141</v>
      </c>
      <c r="E15" s="1" t="str">
        <f>IF(ISNA(VLOOKUP(C15,'Rennen 1'!$C$3:$I$26,7,FALSE)),"-",VLOOKUP(C15,'Rennen 1'!$C$3:$I$26,7,FALSE))</f>
        <v>-</v>
      </c>
      <c r="F15" s="1" t="str">
        <f>IF(ISNA(VLOOKUP(C15,'Rennen 2'!$C$3:$I$26,7,FALSE)),"-",VLOOKUP(C15,'Rennen 2'!$C$3:$I$26,7,FALSE))</f>
        <v>-</v>
      </c>
      <c r="G15" s="1">
        <f>IF(ISNA(VLOOKUP(C15,'Rennen 3'!$C$3:$I$26,7,FALSE)),"-",VLOOKUP(C15,'Rennen 3'!$C$3:$I$26,7,FALSE))</f>
        <v>25</v>
      </c>
      <c r="H15" s="1">
        <f>IF(ISNA(VLOOKUP(C15,'Rennen 4'!$C$3:$I$26,7,FALSE)),"-",VLOOKUP(C15,'Rennen 4'!$C$3:$I$26,7,FALSE))</f>
        <v>25</v>
      </c>
      <c r="I15" s="1">
        <f>IF(ISNA(VLOOKUP(C15,'Rennen 5'!$C$3:$I$26,7,FALSE)),"-",VLOOKUP(C15,'Rennen 5'!$C$3:$I$26,7,FALSE))</f>
        <v>16</v>
      </c>
      <c r="J15" s="1">
        <f>IF(ISNA(VLOOKUP(C15,'Rennen 6'!$C$3:$I$26,7,FALSE)),"-",VLOOKUP(C15,'Rennen 6'!$C$3:$I$26,7,FALSE))</f>
        <v>25</v>
      </c>
      <c r="K15" s="1">
        <f>IF(ISNA(VLOOKUP(C15,'Rennen 7'!$C$3:$I$26,7,FALSE)),"-",VLOOKUP(C15,'Rennen 7'!$C$3:$I$26,7,FALSE))</f>
        <v>25</v>
      </c>
      <c r="L15" s="1">
        <f>IF(ISNA(VLOOKUP(C15,'Rennen 8'!$C$3:$I$26,7,FALSE)),"-",VLOOKUP(C15,'Rennen 8'!$C$3:$I$26,7,FALSE))</f>
        <v>25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 t="str">
        <f>IF(ISNA(VLOOKUP(C15,'Rennen 11'!$C$3:$I$26,7,FALSE)),"-",VLOOKUP(C15,'Rennen 11'!$C$3:$I$26,7,FALSE))</f>
        <v>-</v>
      </c>
      <c r="P15" s="1" t="str">
        <f>IF(ISNA(VLOOKUP(C15,'Rennen 12'!$C$3:$I$26,7,FALSE)),"-",VLOOKUP(C15,'Rennen 12'!$C$3:$I$26,7,FALSE))</f>
        <v>-</v>
      </c>
      <c r="Q15" s="1" t="str">
        <f>IF(ISNA(VLOOKUP(C15,'Rennen 13'!$C$3:$I$26,7,FALSE)),"-",VLOOKUP(C15,'Rennen 13'!$C$3:$I$26,7,FALSE))</f>
        <v>-</v>
      </c>
      <c r="R15" s="1" t="str">
        <f>IF(ISNA(VLOOKUP(C15,'Rennen 14'!$C$3:$I$26,7,FALSE)),"-",VLOOKUP(C15,'Rennen 14'!$C$3:$I$26,7,FALSE))</f>
        <v>-</v>
      </c>
      <c r="S15" s="1" t="str">
        <f>IF(ISNA(VLOOKUP(C15,'Rennen 15'!$C$3:$I$26,7,FALSE)),"-",VLOOKUP(C15,'Rennen 15'!$C$3:$I$26,7,FALSE))</f>
        <v>-</v>
      </c>
      <c r="T15" s="1" t="str">
        <f>IF(ISNA(VLOOKUP(C15,'Rennen 16'!$C$3:$I$26,7,FALSE)),"-",VLOOKUP(C15,'Rennen 16'!$C$3:$I$26,7,FALSE))</f>
        <v>-</v>
      </c>
      <c r="U15" s="1" t="str">
        <f>IF(ISNA(VLOOKUP(C15,'Rennen 17'!$C$3:$I$26,7,FALSE)),"-",VLOOKUP(C15,'Rennen 17'!$C$3:$I$26,7,FALSE))</f>
        <v>-</v>
      </c>
      <c r="V15" s="1" t="str">
        <f>IF(ISNA(VLOOKUP(C15,'Rennen 18'!$C$3:$I$26,7,FALSE)),"-",VLOOKUP(C15,'Rennen 18'!$C$3:$I$26,7,FALSE))</f>
        <v>-</v>
      </c>
      <c r="W15" s="1" t="str">
        <f>IF(ISNA(VLOOKUP(C15,'Rennen 19'!$C$3:$I$26,7,FALSE)),"-",VLOOKUP(C15,'Rennen 19'!$C$3:$I$26,7,FALSE))</f>
        <v>-</v>
      </c>
      <c r="X15" s="1" t="str">
        <f>IF(ISNA(VLOOKUP(C15,'Rennen 20'!$C$3:$I$26,7,FALSE)),"-",VLOOKUP(C15,'Rennen 20'!$C$3:$I$26,7,FALSE))</f>
        <v>-</v>
      </c>
      <c r="Y15" s="1" t="str">
        <f>IF(ISNA(VLOOKUP(C15,'Rennen 21'!$C$3:$I$26,7,FALSE)),"-",VLOOKUP(C15,'Rennen 21'!$C$3:$I$26,7,FALSE))</f>
        <v>-</v>
      </c>
      <c r="Z15" s="1" t="str">
        <f>IF(ISNA(VLOOKUP(C15,'Rennen 22'!$C$3:$I$26,7,FALSE)),"-",VLOOKUP(C15,'Rennen 22'!$C$3:$I$26,7,FALSE))</f>
        <v>-</v>
      </c>
    </row>
    <row r="16" spans="1:34" x14ac:dyDescent="0.25">
      <c r="B16" s="12">
        <v>14</v>
      </c>
      <c r="C16" s="12" t="s">
        <v>84</v>
      </c>
      <c r="D16" s="12">
        <f t="shared" si="0"/>
        <v>15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>
        <f>IF(ISNA(VLOOKUP(C16,'Rennen 3'!$C$3:$I$26,7,FALSE)),"-",VLOOKUP(C16,'Rennen 3'!$C$3:$I$26,7,FALSE))</f>
        <v>7</v>
      </c>
      <c r="H16" s="1">
        <f>IF(ISNA(VLOOKUP(C16,'Rennen 4'!$C$3:$I$26,7,FALSE)),"-",VLOOKUP(C16,'Rennen 4'!$C$3:$I$26,7,FALSE))</f>
        <v>8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 t="str">
        <f>IF(ISNA(VLOOKUP(C16,'Rennen 11'!$C$3:$I$26,7,FALSE)),"-",VLOOKUP(C16,'Rennen 11'!$C$3:$I$26,7,FALSE))</f>
        <v>-</v>
      </c>
      <c r="P16" s="1" t="str">
        <f>IF(ISNA(VLOOKUP(C16,'Rennen 12'!$C$3:$I$26,7,FALSE)),"-",VLOOKUP(C16,'Rennen 12'!$C$3:$I$26,7,FALSE))</f>
        <v>-</v>
      </c>
      <c r="Q16" s="1" t="str">
        <f>IF(ISNA(VLOOKUP(C16,'Rennen 13'!$C$3:$I$26,7,FALSE)),"-",VLOOKUP(C16,'Rennen 13'!$C$3:$I$26,7,FALSE))</f>
        <v>-</v>
      </c>
      <c r="R16" s="1" t="str">
        <f>IF(ISNA(VLOOKUP(C16,'Rennen 14'!$C$3:$I$26,7,FALSE)),"-",VLOOKUP(C16,'Rennen 14'!$C$3:$I$26,7,FALSE))</f>
        <v>-</v>
      </c>
      <c r="S16" s="1" t="str">
        <f>IF(ISNA(VLOOKUP(C16,'Rennen 15'!$C$3:$I$26,7,FALSE)),"-",VLOOKUP(C16,'Rennen 15'!$C$3:$I$26,7,FALSE))</f>
        <v>-</v>
      </c>
      <c r="T16" s="1" t="str">
        <f>IF(ISNA(VLOOKUP(C16,'Rennen 16'!$C$3:$I$26,7,FALSE)),"-",VLOOKUP(C16,'Rennen 16'!$C$3:$I$26,7,FALSE))</f>
        <v>-</v>
      </c>
      <c r="U16" s="1" t="str">
        <f>IF(ISNA(VLOOKUP(C16,'Rennen 17'!$C$3:$I$26,7,FALSE)),"-",VLOOKUP(C16,'Rennen 17'!$C$3:$I$26,7,FALSE))</f>
        <v>-</v>
      </c>
      <c r="V16" s="1" t="str">
        <f>IF(ISNA(VLOOKUP(C16,'Rennen 18'!$C$3:$I$26,7,FALSE)),"-",VLOOKUP(C16,'Rennen 18'!$C$3:$I$26,7,FALSE))</f>
        <v>-</v>
      </c>
      <c r="W16" s="1" t="str">
        <f>IF(ISNA(VLOOKUP(C16,'Rennen 19'!$C$3:$I$26,7,FALSE)),"-",VLOOKUP(C16,'Rennen 19'!$C$3:$I$26,7,FALSE))</f>
        <v>-</v>
      </c>
      <c r="X16" s="1" t="str">
        <f>IF(ISNA(VLOOKUP(C16,'Rennen 20'!$C$3:$I$26,7,FALSE)),"-",VLOOKUP(C16,'Rennen 20'!$C$3:$I$26,7,FALSE))</f>
        <v>-</v>
      </c>
      <c r="Y16" s="1" t="str">
        <f>IF(ISNA(VLOOKUP(C16,'Rennen 21'!$C$3:$I$26,7,FALSE)),"-",VLOOKUP(C16,'Rennen 21'!$C$3:$I$26,7,FALSE))</f>
        <v>-</v>
      </c>
      <c r="Z16" s="1" t="str">
        <f>IF(ISNA(VLOOKUP(C16,'Rennen 22'!$C$3:$I$26,7,FALSE)),"-",VLOOKUP(C16,'Rennen 22'!$C$3:$I$26,7,FALSE))</f>
        <v>-</v>
      </c>
    </row>
    <row r="17" spans="2:26" x14ac:dyDescent="0.25">
      <c r="B17" s="12">
        <v>15</v>
      </c>
      <c r="C17" s="12" t="s">
        <v>85</v>
      </c>
      <c r="D17" s="12">
        <f t="shared" si="0"/>
        <v>8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4</v>
      </c>
      <c r="H17" s="1">
        <f>IF(ISNA(VLOOKUP(C17,'Rennen 4'!$C$3:$I$26,7,FALSE)),"-",VLOOKUP(C17,'Rennen 4'!$C$3:$I$26,7,FALSE))</f>
        <v>4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 t="str">
        <f>IF(ISNA(VLOOKUP(C17,'Rennen 11'!$C$3:$I$26,7,FALSE)),"-",VLOOKUP(C17,'Rennen 11'!$C$3:$I$26,7,FALSE))</f>
        <v>-</v>
      </c>
      <c r="P17" s="1" t="str">
        <f>IF(ISNA(VLOOKUP(C17,'Rennen 12'!$C$3:$I$26,7,FALSE)),"-",VLOOKUP(C17,'Rennen 12'!$C$3:$I$26,7,FALSE))</f>
        <v>-</v>
      </c>
      <c r="Q17" s="1" t="str">
        <f>IF(ISNA(VLOOKUP(C17,'Rennen 13'!$C$3:$I$26,7,FALSE)),"-",VLOOKUP(C17,'Rennen 13'!$C$3:$I$26,7,FALSE))</f>
        <v>-</v>
      </c>
      <c r="R17" s="1" t="str">
        <f>IF(ISNA(VLOOKUP(C17,'Rennen 14'!$C$3:$I$26,7,FALSE)),"-",VLOOKUP(C17,'Rennen 14'!$C$3:$I$26,7,FALSE))</f>
        <v>-</v>
      </c>
      <c r="S17" s="1" t="str">
        <f>IF(ISNA(VLOOKUP(C17,'Rennen 15'!$C$3:$I$26,7,FALSE)),"-",VLOOKUP(C17,'Rennen 15'!$C$3:$I$26,7,FALSE))</f>
        <v>-</v>
      </c>
      <c r="T17" s="1" t="str">
        <f>IF(ISNA(VLOOKUP(C17,'Rennen 16'!$C$3:$I$26,7,FALSE)),"-",VLOOKUP(C17,'Rennen 16'!$C$3:$I$26,7,FALSE))</f>
        <v>-</v>
      </c>
      <c r="U17" s="1" t="str">
        <f>IF(ISNA(VLOOKUP(C17,'Rennen 17'!$C$3:$I$26,7,FALSE)),"-",VLOOKUP(C17,'Rennen 17'!$C$3:$I$26,7,FALSE))</f>
        <v>-</v>
      </c>
      <c r="V17" s="1" t="str">
        <f>IF(ISNA(VLOOKUP(C17,'Rennen 18'!$C$3:$I$26,7,FALSE)),"-",VLOOKUP(C17,'Rennen 18'!$C$3:$I$26,7,FALSE))</f>
        <v>-</v>
      </c>
      <c r="W17" s="1" t="str">
        <f>IF(ISNA(VLOOKUP(C17,'Rennen 19'!$C$3:$I$26,7,FALSE)),"-",VLOOKUP(C17,'Rennen 19'!$C$3:$I$26,7,FALSE))</f>
        <v>-</v>
      </c>
      <c r="X17" s="1" t="str">
        <f>IF(ISNA(VLOOKUP(C17,'Rennen 20'!$C$3:$I$26,7,FALSE)),"-",VLOOKUP(C17,'Rennen 20'!$C$3:$I$26,7,FALSE))</f>
        <v>-</v>
      </c>
      <c r="Y17" s="1" t="str">
        <f>IF(ISNA(VLOOKUP(C17,'Rennen 21'!$C$3:$I$26,7,FALSE)),"-",VLOOKUP(C17,'Rennen 21'!$C$3:$I$26,7,FALSE))</f>
        <v>-</v>
      </c>
      <c r="Z17" s="1" t="str">
        <f>IF(ISNA(VLOOKUP(C17,'Rennen 22'!$C$3:$I$26,7,FALSE)),"-",VLOOKUP(C17,'Rennen 22'!$C$3:$I$26,7,FALSE))</f>
        <v>-</v>
      </c>
    </row>
    <row r="18" spans="2:26" x14ac:dyDescent="0.25">
      <c r="B18" s="12">
        <v>16</v>
      </c>
      <c r="C18" s="12" t="s">
        <v>110</v>
      </c>
      <c r="D18" s="12">
        <f t="shared" si="0"/>
        <v>209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 t="str">
        <f>IF(ISNA(VLOOKUP(C18,'Rennen 3'!$C$3:$I$26,7,FALSE)),"-",VLOOKUP(C18,'Rennen 3'!$C$3:$I$26,7,FALSE))</f>
        <v>-</v>
      </c>
      <c r="H18" s="1" t="str">
        <f>IF(ISNA(VLOOKUP(C18,'Rennen 4'!$C$3:$I$26,7,FALSE)),"-",VLOOKUP(C18,'Rennen 4'!$C$3:$I$26,7,FALSE))</f>
        <v>-</v>
      </c>
      <c r="I18" s="1">
        <f>IF(ISNA(VLOOKUP(C18,'Rennen 5'!$C$3:$I$26,7,FALSE)),"-",VLOOKUP(C18,'Rennen 5'!$C$3:$I$26,7,FALSE))</f>
        <v>20</v>
      </c>
      <c r="J18" s="1">
        <f>IF(ISNA(VLOOKUP(C18,'Rennen 6'!$C$3:$I$26,7,FALSE)),"-",VLOOKUP(C18,'Rennen 6'!$C$3:$I$26,7,FALSE))</f>
        <v>13</v>
      </c>
      <c r="K18" s="1">
        <f>IF(ISNA(VLOOKUP(C18,'Rennen 7'!$C$3:$I$26,7,FALSE)),"-",VLOOKUP(C18,'Rennen 7'!$C$3:$I$26,7,FALSE))</f>
        <v>20</v>
      </c>
      <c r="L18" s="1">
        <f>IF(ISNA(VLOOKUP(C18,'Rennen 8'!$C$3:$I$26,7,FALSE)),"-",VLOOKUP(C18,'Rennen 8'!$C$3:$I$26,7,FALSE))</f>
        <v>13</v>
      </c>
      <c r="M18" s="1">
        <f>IF(ISNA(VLOOKUP(C18,'Rennen 9'!$C$3:$I$26,7,FALSE)),"-",VLOOKUP(C18,'Rennen 9'!$C$3:$I$26,7,FALSE))</f>
        <v>16</v>
      </c>
      <c r="N18" s="1">
        <f>IF(ISNA(VLOOKUP(C18,'Rennen 10'!$C$3:$I$26,7,FALSE)),"-",VLOOKUP(C18,'Rennen 10'!$C$3:$I$26,7,FALSE))</f>
        <v>13</v>
      </c>
      <c r="O18" s="1">
        <f>IF(ISNA(VLOOKUP(C18,'Rennen 11'!$C$3:$I$26,7,FALSE)),"-",VLOOKUP(C18,'Rennen 11'!$C$3:$I$26,7,FALSE))</f>
        <v>13</v>
      </c>
      <c r="P18" s="1">
        <f>IF(ISNA(VLOOKUP(C18,'Rennen 12'!$C$3:$I$26,7,FALSE)),"-",VLOOKUP(C18,'Rennen 12'!$C$3:$I$26,7,FALSE))</f>
        <v>20</v>
      </c>
      <c r="Q18" s="1">
        <f>IF(ISNA(VLOOKUP(C18,'Rennen 13'!$C$3:$I$26,7,FALSE)),"-",VLOOKUP(C18,'Rennen 13'!$C$3:$I$26,7,FALSE))</f>
        <v>16</v>
      </c>
      <c r="R18" s="1">
        <f>IF(ISNA(VLOOKUP(C18,'Rennen 14'!$C$3:$I$26,7,FALSE)),"-",VLOOKUP(C18,'Rennen 14'!$C$3:$I$26,7,FALSE))</f>
        <v>20</v>
      </c>
      <c r="S18" s="1" t="str">
        <f>IF(ISNA(VLOOKUP(C18,'Rennen 15'!$C$3:$I$26,7,FALSE)),"-",VLOOKUP(C18,'Rennen 15'!$C$3:$I$26,7,FALSE))</f>
        <v>-</v>
      </c>
      <c r="T18" s="1" t="str">
        <f>IF(ISNA(VLOOKUP(C18,'Rennen 16'!$C$3:$I$26,7,FALSE)),"-",VLOOKUP(C18,'Rennen 16'!$C$3:$I$26,7,FALSE))</f>
        <v>-</v>
      </c>
      <c r="U18" s="1">
        <f>IF(ISNA(VLOOKUP(C18,'Rennen 17'!$C$3:$I$26,7,FALSE)),"-",VLOOKUP(C18,'Rennen 17'!$C$3:$I$26,7,FALSE))</f>
        <v>25</v>
      </c>
      <c r="V18" s="1">
        <f>IF(ISNA(VLOOKUP(C18,'Rennen 18'!$C$3:$I$26,7,FALSE)),"-",VLOOKUP(C18,'Rennen 18'!$C$3:$I$26,7,FALSE))</f>
        <v>20</v>
      </c>
      <c r="W18" s="1" t="str">
        <f>IF(ISNA(VLOOKUP(C18,'Rennen 19'!$C$3:$I$26,7,FALSE)),"-",VLOOKUP(C18,'Rennen 19'!$C$3:$I$26,7,FALSE))</f>
        <v>-</v>
      </c>
      <c r="X18" s="1" t="str">
        <f>IF(ISNA(VLOOKUP(C18,'Rennen 20'!$C$3:$I$26,7,FALSE)),"-",VLOOKUP(C18,'Rennen 20'!$C$3:$I$26,7,FALSE))</f>
        <v>-</v>
      </c>
      <c r="Y18" s="1" t="str">
        <f>IF(ISNA(VLOOKUP(C18,'Rennen 21'!$C$3:$I$26,7,FALSE)),"-",VLOOKUP(C18,'Rennen 21'!$C$3:$I$26,7,FALSE))</f>
        <v>-</v>
      </c>
      <c r="Z18" s="1" t="str">
        <f>IF(ISNA(VLOOKUP(C18,'Rennen 22'!$C$3:$I$26,7,FALSE)),"-",VLOOKUP(C18,'Rennen 22'!$C$3:$I$26,7,FALSE))</f>
        <v>-</v>
      </c>
    </row>
    <row r="19" spans="2:26" x14ac:dyDescent="0.25">
      <c r="B19" s="12">
        <v>17</v>
      </c>
      <c r="C19" s="12" t="s">
        <v>183</v>
      </c>
      <c r="D19" s="12">
        <f t="shared" si="0"/>
        <v>85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>
        <f>IF(ISNA(VLOOKUP(C19,'Rennen 11'!$C$3:$I$26,7,FALSE)),"-",VLOOKUP(C19,'Rennen 11'!$C$3:$I$26,7,FALSE))</f>
        <v>7</v>
      </c>
      <c r="P19" s="1">
        <f>IF(ISNA(VLOOKUP(C19,'Rennen 12'!$C$3:$I$26,7,FALSE)),"-",VLOOKUP(C19,'Rennen 12'!$C$3:$I$26,7,FALSE))</f>
        <v>9</v>
      </c>
      <c r="Q19" s="1">
        <f>IF(ISNA(VLOOKUP(C19,'Rennen 13'!$C$3:$I$26,7,FALSE)),"-",VLOOKUP(C19,'Rennen 13'!$C$3:$I$26,7,FALSE))</f>
        <v>8</v>
      </c>
      <c r="R19" s="1">
        <f>IF(ISNA(VLOOKUP(C19,'Rennen 14'!$C$3:$I$26,7,FALSE)),"-",VLOOKUP(C19,'Rennen 14'!$C$3:$I$26,7,FALSE))</f>
        <v>8</v>
      </c>
      <c r="S19" s="1">
        <f>IF(ISNA(VLOOKUP(C19,'Rennen 15'!$C$3:$I$26,7,FALSE)),"-",VLOOKUP(C19,'Rennen 15'!$C$3:$I$26,7,FALSE))</f>
        <v>13</v>
      </c>
      <c r="T19" s="1">
        <f>IF(ISNA(VLOOKUP(C19,'Rennen 16'!$C$3:$I$26,7,FALSE)),"-",VLOOKUP(C19,'Rennen 16'!$C$3:$I$26,7,FALSE))</f>
        <v>20</v>
      </c>
      <c r="U19" s="1">
        <f>IF(ISNA(VLOOKUP(C19,'Rennen 17'!$C$3:$I$26,7,FALSE)),"-",VLOOKUP(C19,'Rennen 17'!$C$3:$I$26,7,FALSE))</f>
        <v>10</v>
      </c>
      <c r="V19" s="1">
        <f>IF(ISNA(VLOOKUP(C19,'Rennen 18'!$C$3:$I$26,7,FALSE)),"-",VLOOKUP(C19,'Rennen 18'!$C$3:$I$26,7,FALSE))</f>
        <v>10</v>
      </c>
      <c r="W19" s="1" t="str">
        <f>IF(ISNA(VLOOKUP(C19,'Rennen 19'!$C$3:$I$26,7,FALSE)),"-",VLOOKUP(C19,'Rennen 19'!$C$3:$I$26,7,FALSE))</f>
        <v>-</v>
      </c>
      <c r="X19" s="1" t="str">
        <f>IF(ISNA(VLOOKUP(C19,'Rennen 20'!$C$3:$I$26,7,FALSE)),"-",VLOOKUP(C19,'Rennen 20'!$C$3:$I$26,7,FALSE))</f>
        <v>-</v>
      </c>
      <c r="Y19" s="1" t="str">
        <f>IF(ISNA(VLOOKUP(C19,'Rennen 21'!$C$3:$I$26,7,FALSE)),"-",VLOOKUP(C19,'Rennen 21'!$C$3:$I$26,7,FALSE))</f>
        <v>-</v>
      </c>
      <c r="Z19" s="1" t="str">
        <f>IF(ISNA(VLOOKUP(C19,'Rennen 22'!$C$3:$I$26,7,FALSE)),"-",VLOOKUP(C19,'Rennen 22'!$C$3:$I$26,7,FALSE))</f>
        <v>-</v>
      </c>
    </row>
    <row r="20" spans="2:26" x14ac:dyDescent="0.25">
      <c r="B20" s="12">
        <v>18</v>
      </c>
      <c r="C20" s="12" t="s">
        <v>197</v>
      </c>
      <c r="D20" s="12">
        <f t="shared" si="0"/>
        <v>33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 t="str">
        <f>IF(ISNA(VLOOKUP(C20,'Rennen 11'!$C$3:$I$26,7,FALSE)),"-",VLOOKUP(C20,'Rennen 11'!$C$3:$I$26,7,FALSE))</f>
        <v>-</v>
      </c>
      <c r="P20" s="1" t="str">
        <f>IF(ISNA(VLOOKUP(C20,'Rennen 12'!$C$3:$I$26,7,FALSE)),"-",VLOOKUP(C20,'Rennen 12'!$C$3:$I$26,7,FALSE))</f>
        <v>-</v>
      </c>
      <c r="Q20" s="1" t="str">
        <f>IF(ISNA(VLOOKUP(C20,'Rennen 13'!$C$3:$I$26,7,FALSE)),"-",VLOOKUP(C20,'Rennen 13'!$C$3:$I$26,7,FALSE))</f>
        <v>-</v>
      </c>
      <c r="R20" s="1" t="str">
        <f>IF(ISNA(VLOOKUP(C20,'Rennen 14'!$C$3:$I$26,7,FALSE)),"-",VLOOKUP(C20,'Rennen 14'!$C$3:$I$26,7,FALSE))</f>
        <v>-</v>
      </c>
      <c r="S20" s="1" t="str">
        <f>IF(ISNA(VLOOKUP(C20,'Rennen 15'!$C$3:$I$26,7,FALSE)),"-",VLOOKUP(C20,'Rennen 15'!$C$3:$I$26,7,FALSE))</f>
        <v>-</v>
      </c>
      <c r="T20" s="1" t="str">
        <f>IF(ISNA(VLOOKUP(C20,'Rennen 16'!$C$3:$I$26,7,FALSE)),"-",VLOOKUP(C20,'Rennen 16'!$C$3:$I$26,7,FALSE))</f>
        <v>-</v>
      </c>
      <c r="U20" s="1">
        <f>IF(ISNA(VLOOKUP(C20,'Rennen 17'!$C$3:$I$26,7,FALSE)),"-",VLOOKUP(C20,'Rennen 17'!$C$3:$I$26,7,FALSE))</f>
        <v>8</v>
      </c>
      <c r="V20" s="1">
        <f>IF(ISNA(VLOOKUP(C20,'Rennen 18'!$C$3:$I$26,7,FALSE)),"-",VLOOKUP(C20,'Rennen 18'!$C$3:$I$26,7,FALSE))</f>
        <v>25</v>
      </c>
      <c r="W20" s="1" t="str">
        <f>IF(ISNA(VLOOKUP(C20,'Rennen 19'!$C$3:$I$26,7,FALSE)),"-",VLOOKUP(C20,'Rennen 19'!$C$3:$I$26,7,FALSE))</f>
        <v>-</v>
      </c>
      <c r="X20" s="1" t="str">
        <f>IF(ISNA(VLOOKUP(C20,'Rennen 20'!$C$3:$I$26,7,FALSE)),"-",VLOOKUP(C20,'Rennen 20'!$C$3:$I$26,7,FALSE))</f>
        <v>-</v>
      </c>
      <c r="Y20" s="1" t="str">
        <f>IF(ISNA(VLOOKUP(C20,'Rennen 21'!$C$3:$I$26,7,FALSE)),"-",VLOOKUP(C20,'Rennen 21'!$C$3:$I$26,7,FALSE))</f>
        <v>-</v>
      </c>
      <c r="Z20" s="1" t="str">
        <f>IF(ISNA(VLOOKUP(C20,'Rennen 22'!$C$3:$I$26,7,FALSE)),"-",VLOOKUP(C20,'Rennen 22'!$C$3:$I$26,7,FALSE))</f>
        <v>-</v>
      </c>
    </row>
    <row r="21" spans="2:26" x14ac:dyDescent="0.25">
      <c r="B21" s="12">
        <v>19</v>
      </c>
      <c r="C21" s="12"/>
      <c r="D21" s="12">
        <f t="shared" si="0"/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 t="str">
        <f>IF(ISNA(VLOOKUP(C21,'Rennen 11'!$C$3:$I$26,7,FALSE)),"-",VLOOKUP(C21,'Rennen 11'!$C$3:$I$26,7,FALSE))</f>
        <v>-</v>
      </c>
      <c r="P21" s="1" t="str">
        <f>IF(ISNA(VLOOKUP(C21,'Rennen 12'!$C$3:$I$26,7,FALSE)),"-",VLOOKUP(C21,'Rennen 12'!$C$3:$I$26,7,FALSE))</f>
        <v>-</v>
      </c>
      <c r="Q21" s="1" t="str">
        <f>IF(ISNA(VLOOKUP(C21,'Rennen 13'!$C$3:$I$26,7,FALSE)),"-",VLOOKUP(C21,'Rennen 13'!$C$3:$I$26,7,FALSE))</f>
        <v>-</v>
      </c>
      <c r="R21" s="1" t="str">
        <f>IF(ISNA(VLOOKUP(C21,'Rennen 14'!$C$3:$I$26,7,FALSE)),"-",VLOOKUP(C21,'Rennen 14'!$C$3:$I$26,7,FALSE))</f>
        <v>-</v>
      </c>
      <c r="S21" s="1" t="str">
        <f>IF(ISNA(VLOOKUP(C21,'Rennen 15'!$C$3:$I$26,7,FALSE)),"-",VLOOKUP(C21,'Rennen 15'!$C$3:$I$26,7,FALSE))</f>
        <v>-</v>
      </c>
      <c r="T21" s="1" t="str">
        <f>IF(ISNA(VLOOKUP(C21,'Rennen 16'!$C$3:$I$26,7,FALSE)),"-",VLOOKUP(C21,'Rennen 16'!$C$3:$I$26,7,FALSE))</f>
        <v>-</v>
      </c>
      <c r="U21" s="1" t="str">
        <f>IF(ISNA(VLOOKUP(C21,'Rennen 17'!$C$3:$I$26,7,FALSE)),"-",VLOOKUP(C21,'Rennen 17'!$C$3:$I$26,7,FALSE))</f>
        <v>-</v>
      </c>
      <c r="V21" s="1" t="str">
        <f>IF(ISNA(VLOOKUP(C21,'Rennen 18'!$C$3:$I$26,7,FALSE)),"-",VLOOKUP(C21,'Rennen 18'!$C$3:$I$26,7,FALSE))</f>
        <v>-</v>
      </c>
      <c r="W21" s="1" t="str">
        <f>IF(ISNA(VLOOKUP(C21,'Rennen 19'!$C$3:$I$26,7,FALSE)),"-",VLOOKUP(C21,'Rennen 19'!$C$3:$I$26,7,FALSE))</f>
        <v>-</v>
      </c>
      <c r="X21" s="1" t="str">
        <f>IF(ISNA(VLOOKUP(C21,'Rennen 20'!$C$3:$I$26,7,FALSE)),"-",VLOOKUP(C21,'Rennen 20'!$C$3:$I$26,7,FALSE))</f>
        <v>-</v>
      </c>
      <c r="Y21" s="1" t="str">
        <f>IF(ISNA(VLOOKUP(C21,'Rennen 21'!$C$3:$I$26,7,FALSE)),"-",VLOOKUP(C21,'Rennen 21'!$C$3:$I$26,7,FALSE))</f>
        <v>-</v>
      </c>
      <c r="Z21" s="1" t="str">
        <f>IF(ISNA(VLOOKUP(C21,'Rennen 22'!$C$3:$I$26,7,FALSE)),"-",VLOOKUP(C21,'Rennen 22'!$C$3:$I$26,7,FALSE))</f>
        <v>-</v>
      </c>
    </row>
    <row r="22" spans="2:26" x14ac:dyDescent="0.25">
      <c r="B22" s="12">
        <v>20</v>
      </c>
      <c r="C22" s="12"/>
      <c r="D22" s="12">
        <f t="shared" si="0"/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 t="str">
        <f>IF(ISNA(VLOOKUP(C22,'Rennen 11'!$C$3:$I$26,7,FALSE)),"-",VLOOKUP(C22,'Rennen 11'!$C$3:$I$26,7,FALSE))</f>
        <v>-</v>
      </c>
      <c r="P22" s="1" t="str">
        <f>IF(ISNA(VLOOKUP(C22,'Rennen 12'!$C$3:$I$26,7,FALSE)),"-",VLOOKUP(C22,'Rennen 12'!$C$3:$I$26,7,FALSE))</f>
        <v>-</v>
      </c>
      <c r="Q22" s="1" t="str">
        <f>IF(ISNA(VLOOKUP(C22,'Rennen 13'!$C$3:$I$26,7,FALSE)),"-",VLOOKUP(C22,'Rennen 13'!$C$3:$I$26,7,FALSE))</f>
        <v>-</v>
      </c>
      <c r="R22" s="1" t="str">
        <f>IF(ISNA(VLOOKUP(C22,'Rennen 14'!$C$3:$I$26,7,FALSE)),"-",VLOOKUP(C22,'Rennen 14'!$C$3:$I$26,7,FALSE))</f>
        <v>-</v>
      </c>
      <c r="S22" s="1" t="str">
        <f>IF(ISNA(VLOOKUP(C22,'Rennen 15'!$C$3:$I$26,7,FALSE)),"-",VLOOKUP(C22,'Rennen 15'!$C$3:$I$26,7,FALSE))</f>
        <v>-</v>
      </c>
      <c r="T22" s="1" t="str">
        <f>IF(ISNA(VLOOKUP(C22,'Rennen 16'!$C$3:$I$26,7,FALSE)),"-",VLOOKUP(C22,'Rennen 16'!$C$3:$I$26,7,FALSE))</f>
        <v>-</v>
      </c>
      <c r="U22" s="1" t="str">
        <f>IF(ISNA(VLOOKUP(C22,'Rennen 17'!$C$3:$I$26,7,FALSE)),"-",VLOOKUP(C22,'Rennen 17'!$C$3:$I$26,7,FALSE))</f>
        <v>-</v>
      </c>
      <c r="V22" s="1" t="str">
        <f>IF(ISNA(VLOOKUP(C22,'Rennen 18'!$C$3:$I$26,7,FALSE)),"-",VLOOKUP(C22,'Rennen 18'!$C$3:$I$26,7,FALSE))</f>
        <v>-</v>
      </c>
      <c r="W22" s="1" t="str">
        <f>IF(ISNA(VLOOKUP(C22,'Rennen 19'!$C$3:$I$26,7,FALSE)),"-",VLOOKUP(C22,'Rennen 19'!$C$3:$I$26,7,FALSE))</f>
        <v>-</v>
      </c>
      <c r="X22" s="1" t="str">
        <f>IF(ISNA(VLOOKUP(C22,'Rennen 20'!$C$3:$I$26,7,FALSE)),"-",VLOOKUP(C22,'Rennen 20'!$C$3:$I$26,7,FALSE))</f>
        <v>-</v>
      </c>
      <c r="Y22" s="1" t="str">
        <f>IF(ISNA(VLOOKUP(C22,'Rennen 21'!$C$3:$I$26,7,FALSE)),"-",VLOOKUP(C22,'Rennen 21'!$C$3:$I$26,7,FALSE))</f>
        <v>-</v>
      </c>
      <c r="Z22" s="1" t="str">
        <f>IF(ISNA(VLOOKUP(C22,'Rennen 22'!$C$3:$I$26,7,FALSE)),"-",VLOOKUP(C22,'Rennen 22'!$C$3:$I$26,7,FALSE))</f>
        <v>-</v>
      </c>
    </row>
    <row r="23" spans="2:26" x14ac:dyDescent="0.25">
      <c r="B23" s="12">
        <v>21</v>
      </c>
      <c r="C23" s="12"/>
      <c r="D23" s="12">
        <f t="shared" si="0"/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 t="str">
        <f>IF(ISNA(VLOOKUP(C23,'Rennen 11'!$C$3:$I$26,7,FALSE)),"-",VLOOKUP(C23,'Rennen 11'!$C$3:$I$26,7,FALSE))</f>
        <v>-</v>
      </c>
      <c r="P23" s="1" t="str">
        <f>IF(ISNA(VLOOKUP(C23,'Rennen 12'!$C$3:$I$26,7,FALSE)),"-",VLOOKUP(C23,'Rennen 12'!$C$3:$I$26,7,FALSE))</f>
        <v>-</v>
      </c>
      <c r="Q23" s="1" t="str">
        <f>IF(ISNA(VLOOKUP(C23,'Rennen 13'!$C$3:$I$26,7,FALSE)),"-",VLOOKUP(C23,'Rennen 13'!$C$3:$I$26,7,FALSE))</f>
        <v>-</v>
      </c>
      <c r="R23" s="1" t="str">
        <f>IF(ISNA(VLOOKUP(C23,'Rennen 14'!$C$3:$I$26,7,FALSE)),"-",VLOOKUP(C23,'Rennen 14'!$C$3:$I$26,7,FALSE))</f>
        <v>-</v>
      </c>
      <c r="S23" s="1" t="str">
        <f>IF(ISNA(VLOOKUP(C23,'Rennen 15'!$C$3:$I$26,7,FALSE)),"-",VLOOKUP(C23,'Rennen 15'!$C$3:$I$26,7,FALSE))</f>
        <v>-</v>
      </c>
      <c r="T23" s="1" t="str">
        <f>IF(ISNA(VLOOKUP(C23,'Rennen 16'!$C$3:$I$26,7,FALSE)),"-",VLOOKUP(C23,'Rennen 16'!$C$3:$I$26,7,FALSE))</f>
        <v>-</v>
      </c>
      <c r="U23" s="1" t="str">
        <f>IF(ISNA(VLOOKUP(C23,'Rennen 17'!$C$3:$I$26,7,FALSE)),"-",VLOOKUP(C23,'Rennen 17'!$C$3:$I$26,7,FALSE))</f>
        <v>-</v>
      </c>
      <c r="V23" s="1" t="str">
        <f>IF(ISNA(VLOOKUP(C23,'Rennen 18'!$C$3:$I$26,7,FALSE)),"-",VLOOKUP(C23,'Rennen 18'!$C$3:$I$26,7,FALSE))</f>
        <v>-</v>
      </c>
      <c r="W23" s="1" t="str">
        <f>IF(ISNA(VLOOKUP(C23,'Rennen 19'!$C$3:$I$26,7,FALSE)),"-",VLOOKUP(C23,'Rennen 19'!$C$3:$I$26,7,FALSE))</f>
        <v>-</v>
      </c>
      <c r="X23" s="1" t="str">
        <f>IF(ISNA(VLOOKUP(C23,'Rennen 20'!$C$3:$I$26,7,FALSE)),"-",VLOOKUP(C23,'Rennen 20'!$C$3:$I$26,7,FALSE))</f>
        <v>-</v>
      </c>
      <c r="Y23" s="1" t="str">
        <f>IF(ISNA(VLOOKUP(C23,'Rennen 21'!$C$3:$I$26,7,FALSE)),"-",VLOOKUP(C23,'Rennen 21'!$C$3:$I$26,7,FALSE))</f>
        <v>-</v>
      </c>
      <c r="Z23" s="1" t="str">
        <f>IF(ISNA(VLOOKUP(C23,'Rennen 22'!$C$3:$I$26,7,FALSE)),"-",VLOOKUP(C23,'Rennen 22'!$C$3:$I$26,7,FALSE))</f>
        <v>-</v>
      </c>
    </row>
    <row r="24" spans="2:26" x14ac:dyDescent="0.25">
      <c r="B24" s="12">
        <v>22</v>
      </c>
      <c r="C24" s="12"/>
      <c r="D24" s="12">
        <f t="shared" si="0"/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 t="str">
        <f>IF(ISNA(VLOOKUP(C24,'Rennen 11'!$C$3:$I$26,7,FALSE)),"-",VLOOKUP(C24,'Rennen 11'!$C$3:$I$26,7,FALSE))</f>
        <v>-</v>
      </c>
      <c r="P24" s="1" t="str">
        <f>IF(ISNA(VLOOKUP(C24,'Rennen 12'!$C$3:$I$26,7,FALSE)),"-",VLOOKUP(C24,'Rennen 12'!$C$3:$I$26,7,FALSE))</f>
        <v>-</v>
      </c>
      <c r="Q24" s="1" t="str">
        <f>IF(ISNA(VLOOKUP(C24,'Rennen 13'!$C$3:$I$26,7,FALSE)),"-",VLOOKUP(C24,'Rennen 13'!$C$3:$I$26,7,FALSE))</f>
        <v>-</v>
      </c>
      <c r="R24" s="1" t="str">
        <f>IF(ISNA(VLOOKUP(C24,'Rennen 14'!$C$3:$I$26,7,FALSE)),"-",VLOOKUP(C24,'Rennen 14'!$C$3:$I$26,7,FALSE))</f>
        <v>-</v>
      </c>
      <c r="S24" s="1" t="str">
        <f>IF(ISNA(VLOOKUP(C24,'Rennen 15'!$C$3:$I$26,7,FALSE)),"-",VLOOKUP(C24,'Rennen 15'!$C$3:$I$26,7,FALSE))</f>
        <v>-</v>
      </c>
      <c r="T24" s="1" t="str">
        <f>IF(ISNA(VLOOKUP(C24,'Rennen 16'!$C$3:$I$26,7,FALSE)),"-",VLOOKUP(C24,'Rennen 16'!$C$3:$I$26,7,FALSE))</f>
        <v>-</v>
      </c>
      <c r="U24" s="1" t="str">
        <f>IF(ISNA(VLOOKUP(C24,'Rennen 17'!$C$3:$I$26,7,FALSE)),"-",VLOOKUP(C24,'Rennen 17'!$C$3:$I$26,7,FALSE))</f>
        <v>-</v>
      </c>
      <c r="V24" s="1" t="str">
        <f>IF(ISNA(VLOOKUP(C24,'Rennen 18'!$C$3:$I$26,7,FALSE)),"-",VLOOKUP(C24,'Rennen 18'!$C$3:$I$26,7,FALSE))</f>
        <v>-</v>
      </c>
      <c r="W24" s="1" t="str">
        <f>IF(ISNA(VLOOKUP(C24,'Rennen 19'!$C$3:$I$26,7,FALSE)),"-",VLOOKUP(C24,'Rennen 19'!$C$3:$I$26,7,FALSE))</f>
        <v>-</v>
      </c>
      <c r="X24" s="1" t="str">
        <f>IF(ISNA(VLOOKUP(C24,'Rennen 20'!$C$3:$I$26,7,FALSE)),"-",VLOOKUP(C24,'Rennen 20'!$C$3:$I$26,7,FALSE))</f>
        <v>-</v>
      </c>
      <c r="Y24" s="1" t="str">
        <f>IF(ISNA(VLOOKUP(C24,'Rennen 21'!$C$3:$I$26,7,FALSE)),"-",VLOOKUP(C24,'Rennen 21'!$C$3:$I$26,7,FALSE))</f>
        <v>-</v>
      </c>
      <c r="Z24" s="1" t="str">
        <f>IF(ISNA(VLOOKUP(C24,'Rennen 22'!$C$3:$I$26,7,FALSE)),"-",VLOOKUP(C24,'Rennen 22'!$C$3:$I$26,7,FALSE))</f>
        <v>-</v>
      </c>
    </row>
    <row r="25" spans="2:26" x14ac:dyDescent="0.25">
      <c r="B25" s="12">
        <v>23</v>
      </c>
      <c r="C25" s="12"/>
      <c r="D25" s="12">
        <f t="shared" si="0"/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 t="str">
        <f>IF(ISNA(VLOOKUP(C25,'Rennen 11'!$C$3:$I$26,7,FALSE)),"-",VLOOKUP(C25,'Rennen 11'!$C$3:$I$26,7,FALSE))</f>
        <v>-</v>
      </c>
      <c r="P25" s="1" t="str">
        <f>IF(ISNA(VLOOKUP(C25,'Rennen 12'!$C$3:$I$26,7,FALSE)),"-",VLOOKUP(C25,'Rennen 12'!$C$3:$I$26,7,FALSE))</f>
        <v>-</v>
      </c>
      <c r="Q25" s="1" t="str">
        <f>IF(ISNA(VLOOKUP(C25,'Rennen 13'!$C$3:$I$26,7,FALSE)),"-",VLOOKUP(C25,'Rennen 13'!$C$3:$I$26,7,FALSE))</f>
        <v>-</v>
      </c>
      <c r="R25" s="1" t="str">
        <f>IF(ISNA(VLOOKUP(C25,'Rennen 14'!$C$3:$I$26,7,FALSE)),"-",VLOOKUP(C25,'Rennen 14'!$C$3:$I$26,7,FALSE))</f>
        <v>-</v>
      </c>
      <c r="S25" s="1" t="str">
        <f>IF(ISNA(VLOOKUP(C25,'Rennen 15'!$C$3:$I$26,7,FALSE)),"-",VLOOKUP(C25,'Rennen 15'!$C$3:$I$26,7,FALSE))</f>
        <v>-</v>
      </c>
      <c r="T25" s="1" t="str">
        <f>IF(ISNA(VLOOKUP(C25,'Rennen 16'!$C$3:$I$26,7,FALSE)),"-",VLOOKUP(C25,'Rennen 16'!$C$3:$I$26,7,FALSE))</f>
        <v>-</v>
      </c>
      <c r="U25" s="1" t="str">
        <f>IF(ISNA(VLOOKUP(C25,'Rennen 17'!$C$3:$I$26,7,FALSE)),"-",VLOOKUP(C25,'Rennen 17'!$C$3:$I$26,7,FALSE))</f>
        <v>-</v>
      </c>
      <c r="V25" s="1" t="str">
        <f>IF(ISNA(VLOOKUP(C25,'Rennen 18'!$C$3:$I$26,7,FALSE)),"-",VLOOKUP(C25,'Rennen 18'!$C$3:$I$26,7,FALSE))</f>
        <v>-</v>
      </c>
      <c r="W25" s="1" t="str">
        <f>IF(ISNA(VLOOKUP(C25,'Rennen 19'!$C$3:$I$26,7,FALSE)),"-",VLOOKUP(C25,'Rennen 19'!$C$3:$I$26,7,FALSE))</f>
        <v>-</v>
      </c>
      <c r="X25" s="1" t="str">
        <f>IF(ISNA(VLOOKUP(C25,'Rennen 20'!$C$3:$I$26,7,FALSE)),"-",VLOOKUP(C25,'Rennen 20'!$C$3:$I$26,7,FALSE))</f>
        <v>-</v>
      </c>
      <c r="Y25" s="1" t="str">
        <f>IF(ISNA(VLOOKUP(C25,'Rennen 21'!$C$3:$I$26,7,FALSE)),"-",VLOOKUP(C25,'Rennen 21'!$C$3:$I$26,7,FALSE))</f>
        <v>-</v>
      </c>
      <c r="Z25" s="1" t="str">
        <f>IF(ISNA(VLOOKUP(C25,'Rennen 22'!$C$3:$I$26,7,FALSE)),"-",VLOOKUP(C25,'Rennen 22'!$C$3:$I$26,7,FALSE))</f>
        <v>-</v>
      </c>
    </row>
    <row r="26" spans="2:26" x14ac:dyDescent="0.25">
      <c r="B26" s="12">
        <v>24</v>
      </c>
      <c r="C26" s="12"/>
      <c r="D26" s="12">
        <f t="shared" si="0"/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 t="str">
        <f>IF(ISNA(VLOOKUP(C26,'Rennen 11'!$C$3:$I$26,7,FALSE)),"-",VLOOKUP(C26,'Rennen 11'!$C$3:$I$26,7,FALSE))</f>
        <v>-</v>
      </c>
      <c r="P26" s="1" t="str">
        <f>IF(ISNA(VLOOKUP(C26,'Rennen 12'!$C$3:$I$26,7,FALSE)),"-",VLOOKUP(C26,'Rennen 12'!$C$3:$I$26,7,FALSE))</f>
        <v>-</v>
      </c>
      <c r="Q26" s="1" t="str">
        <f>IF(ISNA(VLOOKUP(C26,'Rennen 13'!$C$3:$I$26,7,FALSE)),"-",VLOOKUP(C26,'Rennen 13'!$C$3:$I$26,7,FALSE))</f>
        <v>-</v>
      </c>
      <c r="R26" s="1" t="str">
        <f>IF(ISNA(VLOOKUP(C26,'Rennen 14'!$C$3:$I$26,7,FALSE)),"-",VLOOKUP(C26,'Rennen 14'!$C$3:$I$26,7,FALSE))</f>
        <v>-</v>
      </c>
      <c r="S26" s="1" t="str">
        <f>IF(ISNA(VLOOKUP(C26,'Rennen 15'!$C$3:$I$26,7,FALSE)),"-",VLOOKUP(C26,'Rennen 15'!$C$3:$I$26,7,FALSE))</f>
        <v>-</v>
      </c>
      <c r="T26" s="1" t="str">
        <f>IF(ISNA(VLOOKUP(C26,'Rennen 16'!$C$3:$I$26,7,FALSE)),"-",VLOOKUP(C26,'Rennen 16'!$C$3:$I$26,7,FALSE))</f>
        <v>-</v>
      </c>
      <c r="U26" s="1" t="str">
        <f>IF(ISNA(VLOOKUP(C26,'Rennen 17'!$C$3:$I$26,7,FALSE)),"-",VLOOKUP(C26,'Rennen 17'!$C$3:$I$26,7,FALSE))</f>
        <v>-</v>
      </c>
      <c r="V26" s="1" t="str">
        <f>IF(ISNA(VLOOKUP(C26,'Rennen 18'!$C$3:$I$26,7,FALSE)),"-",VLOOKUP(C26,'Rennen 18'!$C$3:$I$26,7,FALSE))</f>
        <v>-</v>
      </c>
      <c r="W26" s="1" t="str">
        <f>IF(ISNA(VLOOKUP(C26,'Rennen 19'!$C$3:$I$26,7,FALSE)),"-",VLOOKUP(C26,'Rennen 19'!$C$3:$I$26,7,FALSE))</f>
        <v>-</v>
      </c>
      <c r="X26" s="1" t="str">
        <f>IF(ISNA(VLOOKUP(C26,'Rennen 20'!$C$3:$I$26,7,FALSE)),"-",VLOOKUP(C26,'Rennen 20'!$C$3:$I$26,7,FALSE))</f>
        <v>-</v>
      </c>
      <c r="Y26" s="1" t="str">
        <f>IF(ISNA(VLOOKUP(C26,'Rennen 21'!$C$3:$I$26,7,FALSE)),"-",VLOOKUP(C26,'Rennen 21'!$C$3:$I$26,7,FALSE))</f>
        <v>-</v>
      </c>
      <c r="Z26" s="1" t="str">
        <f>IF(ISNA(VLOOKUP(C26,'Rennen 22'!$C$3:$I$26,7,FALSE)),"-",VLOOKUP(C26,'Rennen 22'!$C$3:$I$26,7,FALSE))</f>
        <v>-</v>
      </c>
    </row>
    <row r="27" spans="2:26" x14ac:dyDescent="0.25">
      <c r="B27" s="12">
        <v>25</v>
      </c>
      <c r="C27" s="12"/>
      <c r="D27" s="12">
        <f t="shared" si="0"/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 t="str">
        <f>IF(ISNA(VLOOKUP(C27,'Rennen 11'!$C$3:$I$26,7,FALSE)),"-",VLOOKUP(C27,'Rennen 11'!$C$3:$I$26,7,FALSE))</f>
        <v>-</v>
      </c>
      <c r="P27" s="1" t="str">
        <f>IF(ISNA(VLOOKUP(C27,'Rennen 12'!$C$3:$I$26,7,FALSE)),"-",VLOOKUP(C27,'Rennen 12'!$C$3:$I$26,7,FALSE))</f>
        <v>-</v>
      </c>
      <c r="Q27" s="1" t="str">
        <f>IF(ISNA(VLOOKUP(C27,'Rennen 13'!$C$3:$I$26,7,FALSE)),"-",VLOOKUP(C27,'Rennen 13'!$C$3:$I$26,7,FALSE))</f>
        <v>-</v>
      </c>
      <c r="R27" s="1" t="str">
        <f>IF(ISNA(VLOOKUP(C27,'Rennen 14'!$C$3:$I$26,7,FALSE)),"-",VLOOKUP(C27,'Rennen 14'!$C$3:$I$26,7,FALSE))</f>
        <v>-</v>
      </c>
      <c r="S27" s="1" t="str">
        <f>IF(ISNA(VLOOKUP(C27,'Rennen 15'!$C$3:$I$26,7,FALSE)),"-",VLOOKUP(C27,'Rennen 15'!$C$3:$I$26,7,FALSE))</f>
        <v>-</v>
      </c>
      <c r="T27" s="1" t="str">
        <f>IF(ISNA(VLOOKUP(C27,'Rennen 16'!$C$3:$I$26,7,FALSE)),"-",VLOOKUP(C27,'Rennen 16'!$C$3:$I$26,7,FALSE))</f>
        <v>-</v>
      </c>
      <c r="U27" s="1" t="str">
        <f>IF(ISNA(VLOOKUP(C27,'Rennen 17'!$C$3:$I$26,7,FALSE)),"-",VLOOKUP(C27,'Rennen 17'!$C$3:$I$26,7,FALSE))</f>
        <v>-</v>
      </c>
      <c r="V27" s="1" t="str">
        <f>IF(ISNA(VLOOKUP(C27,'Rennen 18'!$C$3:$I$26,7,FALSE)),"-",VLOOKUP(C27,'Rennen 18'!$C$3:$I$26,7,FALSE))</f>
        <v>-</v>
      </c>
      <c r="W27" s="1" t="str">
        <f>IF(ISNA(VLOOKUP(C27,'Rennen 19'!$C$3:$I$26,7,FALSE)),"-",VLOOKUP(C27,'Rennen 19'!$C$3:$I$26,7,FALSE))</f>
        <v>-</v>
      </c>
      <c r="X27" s="1" t="str">
        <f>IF(ISNA(VLOOKUP(C27,'Rennen 20'!$C$3:$I$26,7,FALSE)),"-",VLOOKUP(C27,'Rennen 20'!$C$3:$I$26,7,FALSE))</f>
        <v>-</v>
      </c>
      <c r="Y27" s="1" t="str">
        <f>IF(ISNA(VLOOKUP(C27,'Rennen 21'!$C$3:$I$26,7,FALSE)),"-",VLOOKUP(C27,'Rennen 21'!$C$3:$I$26,7,FALSE))</f>
        <v>-</v>
      </c>
      <c r="Z27" s="1" t="str">
        <f>IF(ISNA(VLOOKUP(C27,'Rennen 22'!$C$3:$I$26,7,FALSE)),"-",VLOOKUP(C27,'Rennen 22'!$C$3:$I$26,7,FALSE))</f>
        <v>-</v>
      </c>
    </row>
    <row r="28" spans="2:26" x14ac:dyDescent="0.25">
      <c r="B28" s="12">
        <v>26</v>
      </c>
      <c r="C28" s="12"/>
      <c r="D28" s="12">
        <f t="shared" si="0"/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 t="str">
        <f>IF(ISNA(VLOOKUP(C28,'Rennen 11'!$C$3:$I$26,7,FALSE)),"-",VLOOKUP(C28,'Rennen 11'!$C$3:$I$26,7,FALSE))</f>
        <v>-</v>
      </c>
      <c r="P28" s="1" t="str">
        <f>IF(ISNA(VLOOKUP(C28,'Rennen 12'!$C$3:$I$26,7,FALSE)),"-",VLOOKUP(C28,'Rennen 12'!$C$3:$I$26,7,FALSE))</f>
        <v>-</v>
      </c>
      <c r="Q28" s="1" t="str">
        <f>IF(ISNA(VLOOKUP(C28,'Rennen 13'!$C$3:$I$26,7,FALSE)),"-",VLOOKUP(C28,'Rennen 13'!$C$3:$I$26,7,FALSE))</f>
        <v>-</v>
      </c>
      <c r="R28" s="1" t="str">
        <f>IF(ISNA(VLOOKUP(C28,'Rennen 14'!$C$3:$I$26,7,FALSE)),"-",VLOOKUP(C28,'Rennen 14'!$C$3:$I$26,7,FALSE))</f>
        <v>-</v>
      </c>
      <c r="S28" s="1" t="str">
        <f>IF(ISNA(VLOOKUP(C28,'Rennen 15'!$C$3:$I$26,7,FALSE)),"-",VLOOKUP(C28,'Rennen 15'!$C$3:$I$26,7,FALSE))</f>
        <v>-</v>
      </c>
      <c r="T28" s="1" t="str">
        <f>IF(ISNA(VLOOKUP(C28,'Rennen 16'!$C$3:$I$26,7,FALSE)),"-",VLOOKUP(C28,'Rennen 16'!$C$3:$I$26,7,FALSE))</f>
        <v>-</v>
      </c>
      <c r="U28" s="1" t="str">
        <f>IF(ISNA(VLOOKUP(C28,'Rennen 17'!$C$3:$I$26,7,FALSE)),"-",VLOOKUP(C28,'Rennen 17'!$C$3:$I$26,7,FALSE))</f>
        <v>-</v>
      </c>
      <c r="V28" s="1" t="str">
        <f>IF(ISNA(VLOOKUP(C28,'Rennen 18'!$C$3:$I$26,7,FALSE)),"-",VLOOKUP(C28,'Rennen 18'!$C$3:$I$26,7,FALSE))</f>
        <v>-</v>
      </c>
      <c r="W28" s="1" t="str">
        <f>IF(ISNA(VLOOKUP(C28,'Rennen 19'!$C$3:$I$26,7,FALSE)),"-",VLOOKUP(C28,'Rennen 19'!$C$3:$I$26,7,FALSE))</f>
        <v>-</v>
      </c>
      <c r="X28" s="1" t="str">
        <f>IF(ISNA(VLOOKUP(C28,'Rennen 20'!$C$3:$I$26,7,FALSE)),"-",VLOOKUP(C28,'Rennen 20'!$C$3:$I$26,7,FALSE))</f>
        <v>-</v>
      </c>
      <c r="Y28" s="1" t="str">
        <f>IF(ISNA(VLOOKUP(C28,'Rennen 21'!$C$3:$I$26,7,FALSE)),"-",VLOOKUP(C28,'Rennen 21'!$C$3:$I$26,7,FALSE))</f>
        <v>-</v>
      </c>
      <c r="Z28" s="1" t="str">
        <f>IF(ISNA(VLOOKUP(C28,'Rennen 22'!$C$3:$I$26,7,FALSE)),"-",VLOOKUP(C28,'Rennen 22'!$C$3:$I$26,7,FALSE))</f>
        <v>-</v>
      </c>
    </row>
    <row r="29" spans="2:26" x14ac:dyDescent="0.25">
      <c r="B29" s="12">
        <v>27</v>
      </c>
      <c r="C29" s="12"/>
      <c r="D29" s="12">
        <f t="shared" si="0"/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 t="str">
        <f>IF(ISNA(VLOOKUP(C29,'Rennen 11'!$C$3:$I$26,7,FALSE)),"-",VLOOKUP(C29,'Rennen 11'!$C$3:$I$26,7,FALSE))</f>
        <v>-</v>
      </c>
      <c r="P29" s="1" t="str">
        <f>IF(ISNA(VLOOKUP(C29,'Rennen 12'!$C$3:$I$26,7,FALSE)),"-",VLOOKUP(C29,'Rennen 12'!$C$3:$I$26,7,FALSE))</f>
        <v>-</v>
      </c>
      <c r="Q29" s="1" t="str">
        <f>IF(ISNA(VLOOKUP(C29,'Rennen 13'!$C$3:$I$26,7,FALSE)),"-",VLOOKUP(C29,'Rennen 13'!$C$3:$I$26,7,FALSE))</f>
        <v>-</v>
      </c>
      <c r="R29" s="1" t="str">
        <f>IF(ISNA(VLOOKUP(C29,'Rennen 14'!$C$3:$I$26,7,FALSE)),"-",VLOOKUP(C29,'Rennen 14'!$C$3:$I$26,7,FALSE))</f>
        <v>-</v>
      </c>
      <c r="S29" s="1" t="str">
        <f>IF(ISNA(VLOOKUP(C29,'Rennen 15'!$C$3:$I$26,7,FALSE)),"-",VLOOKUP(C29,'Rennen 15'!$C$3:$I$26,7,FALSE))</f>
        <v>-</v>
      </c>
      <c r="T29" s="1" t="str">
        <f>IF(ISNA(VLOOKUP(C29,'Rennen 16'!$C$3:$I$26,7,FALSE)),"-",VLOOKUP(C29,'Rennen 16'!$C$3:$I$26,7,FALSE))</f>
        <v>-</v>
      </c>
      <c r="U29" s="1" t="str">
        <f>IF(ISNA(VLOOKUP(C29,'Rennen 17'!$C$3:$I$26,7,FALSE)),"-",VLOOKUP(C29,'Rennen 17'!$C$3:$I$26,7,FALSE))</f>
        <v>-</v>
      </c>
      <c r="V29" s="1" t="str">
        <f>IF(ISNA(VLOOKUP(C29,'Rennen 18'!$C$3:$I$26,7,FALSE)),"-",VLOOKUP(C29,'Rennen 18'!$C$3:$I$26,7,FALSE))</f>
        <v>-</v>
      </c>
      <c r="W29" s="1" t="str">
        <f>IF(ISNA(VLOOKUP(C29,'Rennen 19'!$C$3:$I$26,7,FALSE)),"-",VLOOKUP(C29,'Rennen 19'!$C$3:$I$26,7,FALSE))</f>
        <v>-</v>
      </c>
      <c r="X29" s="1" t="str">
        <f>IF(ISNA(VLOOKUP(C29,'Rennen 20'!$C$3:$I$26,7,FALSE)),"-",VLOOKUP(C29,'Rennen 20'!$C$3:$I$26,7,FALSE))</f>
        <v>-</v>
      </c>
      <c r="Y29" s="1" t="str">
        <f>IF(ISNA(VLOOKUP(C29,'Rennen 21'!$C$3:$I$26,7,FALSE)),"-",VLOOKUP(C29,'Rennen 21'!$C$3:$I$26,7,FALSE))</f>
        <v>-</v>
      </c>
      <c r="Z29" s="1" t="str">
        <f>IF(ISNA(VLOOKUP(C29,'Rennen 22'!$C$3:$I$26,7,FALSE)),"-",VLOOKUP(C29,'Rennen 22'!$C$3:$I$26,7,FALSE))</f>
        <v>-</v>
      </c>
    </row>
    <row r="30" spans="2:26" x14ac:dyDescent="0.25">
      <c r="B30" s="12">
        <v>28</v>
      </c>
      <c r="C30" s="12"/>
      <c r="D30" s="12">
        <f t="shared" si="0"/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 t="str">
        <f>IF(ISNA(VLOOKUP(C30,'Rennen 11'!$C$3:$I$26,7,FALSE)),"-",VLOOKUP(C30,'Rennen 11'!$C$3:$I$26,7,FALSE))</f>
        <v>-</v>
      </c>
      <c r="P30" s="1" t="str">
        <f>IF(ISNA(VLOOKUP(C30,'Rennen 12'!$C$3:$I$26,7,FALSE)),"-",VLOOKUP(C30,'Rennen 12'!$C$3:$I$26,7,FALSE))</f>
        <v>-</v>
      </c>
      <c r="Q30" s="1" t="str">
        <f>IF(ISNA(VLOOKUP(C30,'Rennen 13'!$C$3:$I$26,7,FALSE)),"-",VLOOKUP(C30,'Rennen 13'!$C$3:$I$26,7,FALSE))</f>
        <v>-</v>
      </c>
      <c r="R30" s="1" t="str">
        <f>IF(ISNA(VLOOKUP(C30,'Rennen 14'!$C$3:$I$26,7,FALSE)),"-",VLOOKUP(C30,'Rennen 14'!$C$3:$I$26,7,FALSE))</f>
        <v>-</v>
      </c>
      <c r="S30" s="1" t="str">
        <f>IF(ISNA(VLOOKUP(C30,'Rennen 15'!$C$3:$I$26,7,FALSE)),"-",VLOOKUP(C30,'Rennen 15'!$C$3:$I$26,7,FALSE))</f>
        <v>-</v>
      </c>
      <c r="T30" s="1" t="str">
        <f>IF(ISNA(VLOOKUP(C30,'Rennen 16'!$C$3:$I$26,7,FALSE)),"-",VLOOKUP(C30,'Rennen 16'!$C$3:$I$26,7,FALSE))</f>
        <v>-</v>
      </c>
      <c r="U30" s="1" t="str">
        <f>IF(ISNA(VLOOKUP(C30,'Rennen 17'!$C$3:$I$26,7,FALSE)),"-",VLOOKUP(C30,'Rennen 17'!$C$3:$I$26,7,FALSE))</f>
        <v>-</v>
      </c>
      <c r="V30" s="1" t="str">
        <f>IF(ISNA(VLOOKUP(C30,'Rennen 18'!$C$3:$I$26,7,FALSE)),"-",VLOOKUP(C30,'Rennen 18'!$C$3:$I$26,7,FALSE))</f>
        <v>-</v>
      </c>
      <c r="W30" s="1" t="str">
        <f>IF(ISNA(VLOOKUP(C30,'Rennen 19'!$C$3:$I$26,7,FALSE)),"-",VLOOKUP(C30,'Rennen 19'!$C$3:$I$26,7,FALSE))</f>
        <v>-</v>
      </c>
      <c r="X30" s="1" t="str">
        <f>IF(ISNA(VLOOKUP(C30,'Rennen 20'!$C$3:$I$26,7,FALSE)),"-",VLOOKUP(C30,'Rennen 20'!$C$3:$I$26,7,FALSE))</f>
        <v>-</v>
      </c>
      <c r="Y30" s="1" t="str">
        <f>IF(ISNA(VLOOKUP(C30,'Rennen 21'!$C$3:$I$26,7,FALSE)),"-",VLOOKUP(C30,'Rennen 21'!$C$3:$I$26,7,FALSE))</f>
        <v>-</v>
      </c>
      <c r="Z30" s="1" t="str">
        <f>IF(ISNA(VLOOKUP(C30,'Rennen 22'!$C$3:$I$26,7,FALSE)),"-",VLOOKUP(C30,'Rennen 22'!$C$3:$I$26,7,FALSE))</f>
        <v>-</v>
      </c>
    </row>
    <row r="31" spans="2:26" x14ac:dyDescent="0.25">
      <c r="B31" s="12">
        <v>29</v>
      </c>
      <c r="C31" s="12"/>
      <c r="D31" s="12">
        <f t="shared" si="0"/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 t="str">
        <f>IF(ISNA(VLOOKUP(C31,'Rennen 11'!$C$3:$I$26,7,FALSE)),"-",VLOOKUP(C31,'Rennen 11'!$C$3:$I$26,7,FALSE))</f>
        <v>-</v>
      </c>
      <c r="P31" s="1" t="str">
        <f>IF(ISNA(VLOOKUP(C31,'Rennen 12'!$C$3:$I$26,7,FALSE)),"-",VLOOKUP(C31,'Rennen 12'!$C$3:$I$26,7,FALSE))</f>
        <v>-</v>
      </c>
      <c r="Q31" s="1" t="str">
        <f>IF(ISNA(VLOOKUP(C31,'Rennen 13'!$C$3:$I$26,7,FALSE)),"-",VLOOKUP(C31,'Rennen 13'!$C$3:$I$26,7,FALSE))</f>
        <v>-</v>
      </c>
      <c r="R31" s="1" t="str">
        <f>IF(ISNA(VLOOKUP(C31,'Rennen 14'!$C$3:$I$26,7,FALSE)),"-",VLOOKUP(C31,'Rennen 14'!$C$3:$I$26,7,FALSE))</f>
        <v>-</v>
      </c>
      <c r="S31" s="1" t="str">
        <f>IF(ISNA(VLOOKUP(C31,'Rennen 15'!$C$3:$I$26,7,FALSE)),"-",VLOOKUP(C31,'Rennen 15'!$C$3:$I$26,7,FALSE))</f>
        <v>-</v>
      </c>
      <c r="T31" s="1" t="str">
        <f>IF(ISNA(VLOOKUP(C31,'Rennen 16'!$C$3:$I$26,7,FALSE)),"-",VLOOKUP(C31,'Rennen 16'!$C$3:$I$26,7,FALSE))</f>
        <v>-</v>
      </c>
      <c r="U31" s="1" t="str">
        <f>IF(ISNA(VLOOKUP(C31,'Rennen 17'!$C$3:$I$26,7,FALSE)),"-",VLOOKUP(C31,'Rennen 17'!$C$3:$I$26,7,FALSE))</f>
        <v>-</v>
      </c>
      <c r="V31" s="1" t="str">
        <f>IF(ISNA(VLOOKUP(C31,'Rennen 18'!$C$3:$I$26,7,FALSE)),"-",VLOOKUP(C31,'Rennen 18'!$C$3:$I$26,7,FALSE))</f>
        <v>-</v>
      </c>
      <c r="W31" s="1" t="str">
        <f>IF(ISNA(VLOOKUP(C31,'Rennen 19'!$C$3:$I$26,7,FALSE)),"-",VLOOKUP(C31,'Rennen 19'!$C$3:$I$26,7,FALSE))</f>
        <v>-</v>
      </c>
      <c r="X31" s="1" t="str">
        <f>IF(ISNA(VLOOKUP(C31,'Rennen 20'!$C$3:$I$26,7,FALSE)),"-",VLOOKUP(C31,'Rennen 20'!$C$3:$I$26,7,FALSE))</f>
        <v>-</v>
      </c>
      <c r="Y31" s="1" t="str">
        <f>IF(ISNA(VLOOKUP(C31,'Rennen 21'!$C$3:$I$26,7,FALSE)),"-",VLOOKUP(C31,'Rennen 21'!$C$3:$I$26,7,FALSE))</f>
        <v>-</v>
      </c>
      <c r="Z31" s="1" t="str">
        <f>IF(ISNA(VLOOKUP(C31,'Rennen 22'!$C$3:$I$26,7,FALSE)),"-",VLOOKUP(C31,'Rennen 22'!$C$3:$I$26,7,FALSE))</f>
        <v>-</v>
      </c>
    </row>
    <row r="32" spans="2:26" x14ac:dyDescent="0.25">
      <c r="B32" s="12">
        <v>30</v>
      </c>
      <c r="C32" s="12"/>
      <c r="D32" s="12">
        <f t="shared" si="0"/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 t="str">
        <f>IF(ISNA(VLOOKUP(C32,'Rennen 11'!$C$3:$I$26,7,FALSE)),"-",VLOOKUP(C32,'Rennen 11'!$C$3:$I$26,7,FALSE))</f>
        <v>-</v>
      </c>
      <c r="P32" s="1" t="str">
        <f>IF(ISNA(VLOOKUP(C32,'Rennen 12'!$C$3:$I$26,7,FALSE)),"-",VLOOKUP(C32,'Rennen 12'!$C$3:$I$26,7,FALSE))</f>
        <v>-</v>
      </c>
      <c r="Q32" s="1" t="str">
        <f>IF(ISNA(VLOOKUP(C32,'Rennen 13'!$C$3:$I$26,7,FALSE)),"-",VLOOKUP(C32,'Rennen 13'!$C$3:$I$26,7,FALSE))</f>
        <v>-</v>
      </c>
      <c r="R32" s="1" t="str">
        <f>IF(ISNA(VLOOKUP(C32,'Rennen 14'!$C$3:$I$26,7,FALSE)),"-",VLOOKUP(C32,'Rennen 14'!$C$3:$I$26,7,FALSE))</f>
        <v>-</v>
      </c>
      <c r="S32" s="1" t="str">
        <f>IF(ISNA(VLOOKUP(C32,'Rennen 15'!$C$3:$I$26,7,FALSE)),"-",VLOOKUP(C32,'Rennen 15'!$C$3:$I$26,7,FALSE))</f>
        <v>-</v>
      </c>
      <c r="T32" s="1" t="str">
        <f>IF(ISNA(VLOOKUP(C32,'Rennen 16'!$C$3:$I$26,7,FALSE)),"-",VLOOKUP(C32,'Rennen 16'!$C$3:$I$26,7,FALSE))</f>
        <v>-</v>
      </c>
      <c r="U32" s="1" t="str">
        <f>IF(ISNA(VLOOKUP(C32,'Rennen 17'!$C$3:$I$26,7,FALSE)),"-",VLOOKUP(C32,'Rennen 17'!$C$3:$I$26,7,FALSE))</f>
        <v>-</v>
      </c>
      <c r="V32" s="1" t="str">
        <f>IF(ISNA(VLOOKUP(C32,'Rennen 18'!$C$3:$I$26,7,FALSE)),"-",VLOOKUP(C32,'Rennen 18'!$C$3:$I$26,7,FALSE))</f>
        <v>-</v>
      </c>
      <c r="W32" s="1" t="str">
        <f>IF(ISNA(VLOOKUP(C32,'Rennen 19'!$C$3:$I$26,7,FALSE)),"-",VLOOKUP(C32,'Rennen 19'!$C$3:$I$26,7,FALSE))</f>
        <v>-</v>
      </c>
      <c r="X32" s="1" t="str">
        <f>IF(ISNA(VLOOKUP(C32,'Rennen 20'!$C$3:$I$26,7,FALSE)),"-",VLOOKUP(C32,'Rennen 20'!$C$3:$I$26,7,FALSE))</f>
        <v>-</v>
      </c>
      <c r="Y32" s="1" t="str">
        <f>IF(ISNA(VLOOKUP(C32,'Rennen 21'!$C$3:$I$26,7,FALSE)),"-",VLOOKUP(C32,'Rennen 21'!$C$3:$I$26,7,FALSE))</f>
        <v>-</v>
      </c>
      <c r="Z32" s="1" t="str">
        <f>IF(ISNA(VLOOKUP(C32,'Rennen 22'!$C$3:$I$26,7,FALSE)),"-",VLOOKUP(C32,'Rennen 22'!$C$3:$I$26,7,FALSE))</f>
        <v>-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6"/>
  <dimension ref="B2:D32"/>
  <sheetViews>
    <sheetView workbookViewId="0">
      <selection activeCell="E27" sqref="E27"/>
    </sheetView>
  </sheetViews>
  <sheetFormatPr baseColWidth="10" defaultRowHeight="15" x14ac:dyDescent="0.25"/>
  <cols>
    <col min="3" max="3" width="25.42578125" customWidth="1"/>
    <col min="4" max="4" width="33" customWidth="1"/>
  </cols>
  <sheetData>
    <row r="2" spans="2:4" x14ac:dyDescent="0.25">
      <c r="B2" t="s">
        <v>52</v>
      </c>
      <c r="C2" t="s">
        <v>1</v>
      </c>
      <c r="D2" t="s">
        <v>3</v>
      </c>
    </row>
    <row r="3" spans="2:4" x14ac:dyDescent="0.25">
      <c r="B3">
        <v>1</v>
      </c>
      <c r="C3" s="3"/>
      <c r="D3" s="3"/>
    </row>
    <row r="4" spans="2:4" x14ac:dyDescent="0.25">
      <c r="B4">
        <v>2</v>
      </c>
      <c r="C4" s="3"/>
      <c r="D4" s="3"/>
    </row>
    <row r="5" spans="2:4" x14ac:dyDescent="0.25">
      <c r="B5">
        <v>3</v>
      </c>
      <c r="C5" s="3"/>
      <c r="D5" s="3"/>
    </row>
    <row r="6" spans="2:4" x14ac:dyDescent="0.25">
      <c r="B6">
        <v>4</v>
      </c>
      <c r="C6" s="3"/>
      <c r="D6" s="3"/>
    </row>
    <row r="7" spans="2:4" x14ac:dyDescent="0.25">
      <c r="B7">
        <v>5</v>
      </c>
      <c r="C7" s="3"/>
      <c r="D7" s="3"/>
    </row>
    <row r="8" spans="2:4" x14ac:dyDescent="0.25">
      <c r="B8">
        <v>6</v>
      </c>
      <c r="C8" s="3"/>
      <c r="D8" s="3"/>
    </row>
    <row r="9" spans="2:4" x14ac:dyDescent="0.25">
      <c r="B9">
        <v>7</v>
      </c>
      <c r="C9" s="3"/>
      <c r="D9" s="3"/>
    </row>
    <row r="10" spans="2:4" x14ac:dyDescent="0.25">
      <c r="B10">
        <v>8</v>
      </c>
      <c r="C10" s="3"/>
      <c r="D10" s="3"/>
    </row>
    <row r="11" spans="2:4" x14ac:dyDescent="0.25">
      <c r="B11">
        <v>9</v>
      </c>
      <c r="C11" s="3"/>
      <c r="D11" s="3"/>
    </row>
    <row r="12" spans="2:4" x14ac:dyDescent="0.25">
      <c r="B12">
        <v>10</v>
      </c>
      <c r="C12" s="3"/>
      <c r="D12" s="3"/>
    </row>
    <row r="13" spans="2:4" x14ac:dyDescent="0.25">
      <c r="B13">
        <v>11</v>
      </c>
      <c r="C13" s="3"/>
      <c r="D13" s="3"/>
    </row>
    <row r="14" spans="2:4" x14ac:dyDescent="0.25">
      <c r="B14">
        <v>12</v>
      </c>
      <c r="C14" s="3"/>
      <c r="D14" s="3"/>
    </row>
    <row r="15" spans="2:4" x14ac:dyDescent="0.25">
      <c r="B15">
        <v>13</v>
      </c>
      <c r="C15" s="3"/>
      <c r="D15" s="3"/>
    </row>
    <row r="16" spans="2:4" x14ac:dyDescent="0.25">
      <c r="B16">
        <v>14</v>
      </c>
      <c r="C16" s="3"/>
      <c r="D16" s="3"/>
    </row>
    <row r="17" spans="2:4" x14ac:dyDescent="0.25">
      <c r="B17">
        <v>15</v>
      </c>
      <c r="C17" s="3"/>
      <c r="D17" s="3"/>
    </row>
    <row r="18" spans="2:4" x14ac:dyDescent="0.25">
      <c r="B18">
        <v>16</v>
      </c>
      <c r="C18" s="3"/>
      <c r="D18" s="3"/>
    </row>
    <row r="19" spans="2:4" x14ac:dyDescent="0.25">
      <c r="B19">
        <v>17</v>
      </c>
      <c r="C19" s="3"/>
      <c r="D19" s="3"/>
    </row>
    <row r="20" spans="2:4" x14ac:dyDescent="0.25">
      <c r="B20">
        <v>18</v>
      </c>
      <c r="C20" s="3"/>
      <c r="D20" s="3"/>
    </row>
    <row r="21" spans="2:4" x14ac:dyDescent="0.25">
      <c r="B21">
        <v>19</v>
      </c>
      <c r="C21" s="3"/>
      <c r="D21" s="3"/>
    </row>
    <row r="22" spans="2:4" x14ac:dyDescent="0.25">
      <c r="B22">
        <v>20</v>
      </c>
      <c r="C22" s="3"/>
      <c r="D22" s="3"/>
    </row>
    <row r="23" spans="2:4" x14ac:dyDescent="0.25">
      <c r="B23">
        <v>21</v>
      </c>
      <c r="C23" s="3"/>
      <c r="D23" s="3"/>
    </row>
    <row r="24" spans="2:4" x14ac:dyDescent="0.25">
      <c r="B24">
        <v>22</v>
      </c>
      <c r="C24" s="3"/>
      <c r="D24" s="3"/>
    </row>
    <row r="25" spans="2:4" x14ac:dyDescent="0.25">
      <c r="B25">
        <v>23</v>
      </c>
      <c r="C25" s="3"/>
      <c r="D25" s="3"/>
    </row>
    <row r="26" spans="2:4" x14ac:dyDescent="0.25">
      <c r="B26">
        <v>24</v>
      </c>
      <c r="C26" s="3"/>
      <c r="D26" s="3"/>
    </row>
    <row r="27" spans="2:4" x14ac:dyDescent="0.25">
      <c r="B27">
        <v>25</v>
      </c>
      <c r="C27" s="3"/>
      <c r="D27" s="3"/>
    </row>
    <row r="28" spans="2:4" x14ac:dyDescent="0.25">
      <c r="B28">
        <v>26</v>
      </c>
      <c r="C28" s="3"/>
      <c r="D28" s="3"/>
    </row>
    <row r="29" spans="2:4" x14ac:dyDescent="0.25">
      <c r="B29">
        <v>27</v>
      </c>
      <c r="C29" s="3"/>
      <c r="D29" s="3"/>
    </row>
    <row r="30" spans="2:4" x14ac:dyDescent="0.25">
      <c r="B30">
        <v>28</v>
      </c>
      <c r="C30" s="3"/>
      <c r="D30" s="3"/>
    </row>
    <row r="31" spans="2:4" x14ac:dyDescent="0.25">
      <c r="B31">
        <v>29</v>
      </c>
      <c r="C31" s="3"/>
      <c r="D31" s="3"/>
    </row>
    <row r="32" spans="2:4" x14ac:dyDescent="0.25">
      <c r="B32">
        <v>30</v>
      </c>
      <c r="C32" s="3"/>
      <c r="D32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Fahrerauswertung!$C$3:$C$32</xm:f>
          </x14:formula1>
          <xm:sqref>C3:C32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AI32"/>
  <sheetViews>
    <sheetView tabSelected="1" workbookViewId="0">
      <selection activeCell="C2" sqref="C2:AI32"/>
    </sheetView>
  </sheetViews>
  <sheetFormatPr baseColWidth="10" defaultRowHeight="15" x14ac:dyDescent="0.25"/>
  <cols>
    <col min="1" max="1" width="13.28515625" style="1" bestFit="1" customWidth="1"/>
    <col min="2" max="2" width="11.42578125" style="1"/>
    <col min="3" max="3" width="15.7109375" style="1" customWidth="1"/>
    <col min="4" max="4" width="21" style="1" customWidth="1"/>
    <col min="5" max="16384" width="11.42578125" style="1"/>
  </cols>
  <sheetData>
    <row r="1" spans="1:35" x14ac:dyDescent="0.25">
      <c r="A1" s="4" t="s">
        <v>53</v>
      </c>
    </row>
    <row r="2" spans="1:35" x14ac:dyDescent="0.25">
      <c r="B2" s="12" t="s">
        <v>0</v>
      </c>
      <c r="C2" s="12" t="s">
        <v>3</v>
      </c>
      <c r="D2" s="12" t="s">
        <v>1</v>
      </c>
      <c r="E2" s="12" t="s">
        <v>47</v>
      </c>
      <c r="F2" s="12" t="s">
        <v>14</v>
      </c>
      <c r="G2" s="12" t="s">
        <v>15</v>
      </c>
      <c r="H2" s="12" t="s">
        <v>16</v>
      </c>
      <c r="I2" s="12" t="s">
        <v>17</v>
      </c>
      <c r="J2" s="12" t="s">
        <v>18</v>
      </c>
      <c r="K2" s="12" t="s">
        <v>19</v>
      </c>
      <c r="L2" s="12" t="s">
        <v>20</v>
      </c>
      <c r="M2" s="12" t="s">
        <v>21</v>
      </c>
      <c r="N2" s="12" t="s">
        <v>22</v>
      </c>
      <c r="O2" s="12" t="s">
        <v>23</v>
      </c>
      <c r="P2" s="12" t="s">
        <v>27</v>
      </c>
      <c r="Q2" s="12" t="s">
        <v>28</v>
      </c>
      <c r="R2" s="12" t="s">
        <v>29</v>
      </c>
      <c r="S2" s="12" t="s">
        <v>30</v>
      </c>
      <c r="T2" s="12" t="s">
        <v>31</v>
      </c>
      <c r="U2" s="12" t="s">
        <v>32</v>
      </c>
      <c r="V2" s="12" t="s">
        <v>33</v>
      </c>
      <c r="W2" s="12" t="s">
        <v>34</v>
      </c>
      <c r="X2" s="12" t="s">
        <v>35</v>
      </c>
      <c r="Y2" s="12" t="s">
        <v>36</v>
      </c>
      <c r="Z2" s="12" t="s">
        <v>37</v>
      </c>
      <c r="AA2" s="12" t="s">
        <v>38</v>
      </c>
      <c r="AB2" s="12" t="s">
        <v>39</v>
      </c>
      <c r="AC2" s="12" t="s">
        <v>40</v>
      </c>
      <c r="AD2" s="12" t="s">
        <v>41</v>
      </c>
      <c r="AE2" s="12" t="s">
        <v>42</v>
      </c>
      <c r="AF2" s="12" t="s">
        <v>43</v>
      </c>
      <c r="AG2" s="12" t="s">
        <v>44</v>
      </c>
      <c r="AH2" s="12" t="s">
        <v>45</v>
      </c>
      <c r="AI2" s="12" t="s">
        <v>46</v>
      </c>
    </row>
    <row r="3" spans="1:35" x14ac:dyDescent="0.25">
      <c r="B3" s="12">
        <v>1</v>
      </c>
      <c r="C3" s="12" t="s">
        <v>78</v>
      </c>
      <c r="D3" s="12"/>
      <c r="E3" s="1">
        <f>SUM(F3:AI3)</f>
        <v>2720</v>
      </c>
      <c r="F3" s="1">
        <f>SUMIF('Rennen 1'!$D$3:$D$26,Teamauswertung!$C3,'Rennen 1'!$I$3:$I$26)</f>
        <v>134</v>
      </c>
      <c r="G3" s="1">
        <f>SUMIF('Rennen 2'!$D$3:$D$26,Teamauswertung!$C3,'Rennen 2'!$I$3:$I$26)</f>
        <v>134</v>
      </c>
      <c r="H3" s="1">
        <f>SUMIF('Rennen 3'!$D$3:$D$26,Teamauswertung!$C3,'Rennen 3'!$I$3:$I$26)</f>
        <v>134</v>
      </c>
      <c r="I3" s="1">
        <f>SUMIF('Rennen 4'!$D$3:$D$26,Teamauswertung!$C3,'Rennen 4'!$I$3:$I$26)</f>
        <v>134</v>
      </c>
      <c r="J3" s="1">
        <f>SUMIF('Rennen 5'!$D$3:$D$26,Teamauswertung!$C3,'Rennen 5'!$I$3:$I$26)</f>
        <v>119</v>
      </c>
      <c r="K3" s="1">
        <f>SUMIF('Rennen 6'!$D$3:$D$26,Teamauswertung!$C3,'Rennen 6'!$I$3:$I$26)</f>
        <v>119</v>
      </c>
      <c r="L3" s="1">
        <f>SUMIF('Rennen 7'!$D$3:$D$26,Teamauswertung!$C3,'Rennen 7'!$I$3:$I$26)</f>
        <v>125</v>
      </c>
      <c r="M3" s="1">
        <f>SUMIF('Rennen 8'!$D$3:$D$26,Teamauswertung!$C3,'Rennen 8'!$I$3:$I$26)</f>
        <v>125</v>
      </c>
      <c r="N3" s="1">
        <f>SUMIF('Rennen 9'!$D$3:$D$26,Teamauswertung!$C3,'Rennen 9'!$I$3:$I$26)</f>
        <v>119</v>
      </c>
      <c r="O3" s="1">
        <f>SUMIF('Rennen 10'!$D$3:$D$26,Teamauswertung!$C3,'Rennen 10'!$I$3:$I$26)</f>
        <v>119</v>
      </c>
      <c r="P3" s="1">
        <f>SUMIF('Rennen 11'!$D$3:$D$26,Teamauswertung!$C3,'Rennen 11'!$I$3:$I$26)</f>
        <v>125</v>
      </c>
      <c r="Q3" s="1">
        <f>SUMIF('Rennen 12'!$D$3:$D$26,Teamauswertung!$C3,'Rennen 12'!$I$3:$I$26)</f>
        <v>125</v>
      </c>
      <c r="R3" s="1">
        <f>SUMIF('Rennen 13'!$D$3:$D$26,Teamauswertung!$C3,'Rennen 13'!$I$3:$I$26)</f>
        <v>119</v>
      </c>
      <c r="S3" s="1">
        <f>SUMIF('Rennen 14'!$D$3:$D$26,Teamauswertung!$C3,'Rennen 14'!$I$3:$I$26)</f>
        <v>119</v>
      </c>
      <c r="T3" s="1">
        <f>SUMIF('Rennen 15'!$D$3:$D$26,Teamauswertung!$C3,'Rennen 15'!$I$3:$I$26)</f>
        <v>95</v>
      </c>
      <c r="U3" s="1">
        <f>SUMIF('Rennen 16'!$D$3:$D$26,Teamauswertung!$C3,'Rennen 16'!$I$3:$I$26)</f>
        <v>95</v>
      </c>
      <c r="V3" s="1">
        <f>SUMIF('Rennen 17'!$D$3:$D$26,Teamauswertung!$C3,'Rennen 17'!$I$3:$I$26)</f>
        <v>112</v>
      </c>
      <c r="W3" s="1">
        <f>SUMIF('Rennen 18'!$D$3:$D$26,Teamauswertung!$C3,'Rennen 18'!$I$3:$I$26)</f>
        <v>112</v>
      </c>
      <c r="X3" s="1">
        <f>SUMIF('Rennen 19'!$D$3:$D$26,Teamauswertung!$C3,'Rennen 19'!$I$3:$I$26)</f>
        <v>139</v>
      </c>
      <c r="Y3" s="1">
        <f>SUMIF('Rennen 20'!$D$3:$D$26,Teamauswertung!$C3,'Rennen 20'!$I$3:$I$26)</f>
        <v>139</v>
      </c>
      <c r="Z3" s="1">
        <f>SUMIF('Rennen 21'!$D$3:$D$26,Teamauswertung!$C3,'Rennen 21'!$I$3:$I$26)</f>
        <v>139</v>
      </c>
      <c r="AA3" s="1">
        <f>SUMIF('Rennen 22'!$D$3:$D$26,Teamauswertung!$C3,'Rennen 22'!$I$3:$I$26)</f>
        <v>139</v>
      </c>
      <c r="AB3" s="1">
        <f>SUMIF('Rennen 23'!$D$3:$D$26,Teamauswertung!$C3,'Rennen 23'!$I$3:$I$26)</f>
        <v>0</v>
      </c>
      <c r="AC3" s="1">
        <f>SUMIF('Rennen 24'!$D$3:$D$26,Teamauswertung!$C3,'Rennen 24'!$I$3:$I$26)</f>
        <v>0</v>
      </c>
      <c r="AD3" s="1">
        <f>SUMIF('Rennen 25'!$D$3:$D$26,Teamauswertung!$C3,'Rennen 25'!$I$3:$I$26)</f>
        <v>0</v>
      </c>
      <c r="AE3" s="1">
        <f>SUMIF('Rennen 26'!$D$3:$D$26,Teamauswertung!$C3,'Rennen 26'!$I$3:$I$26)</f>
        <v>0</v>
      </c>
      <c r="AF3" s="1">
        <f>SUMIF('Rennen 27'!$D$3:$D$26,Teamauswertung!$C3,'Rennen 27'!$I$3:$I$26)</f>
        <v>0</v>
      </c>
      <c r="AG3" s="1">
        <f>SUMIF('Rennen 28'!$D$3:$D$26,Teamauswertung!$C3,'Rennen 28'!$I$3:$I$26)</f>
        <v>0</v>
      </c>
      <c r="AH3" s="1">
        <f>SUMIF('Rennen 29'!$D$3:$D$26,Teamauswertung!$C3,'Rennen 29'!$I$3:$I$26)</f>
        <v>0</v>
      </c>
      <c r="AI3" s="1">
        <f>SUMIF('Rennen 30'!$D$3:$D$26,Teamauswertung!$C3,'Rennen 30'!$I$3:$I$26)</f>
        <v>0</v>
      </c>
    </row>
    <row r="4" spans="1:35" x14ac:dyDescent="0.25">
      <c r="B4" s="12">
        <v>2</v>
      </c>
      <c r="C4" s="12"/>
      <c r="D4" s="12"/>
      <c r="E4" s="1">
        <f>SUM(F4:AI4)</f>
        <v>0</v>
      </c>
      <c r="F4" s="1">
        <f>SUMIF('Rennen 1'!$D$3:$D$26,Teamauswertung!$C4,'Rennen 1'!$I$3:$I$26)</f>
        <v>0</v>
      </c>
      <c r="G4" s="1">
        <f>SUMIF('Rennen 2'!$D$3:$D$26,Teamauswertung!$C4,'Rennen 2'!$I$3:$I$26)</f>
        <v>0</v>
      </c>
      <c r="H4" s="1">
        <f>SUMIF('Rennen 3'!$D$3:$D$26,Teamauswertung!$C4,'Rennen 3'!$I$3:$I$26)</f>
        <v>0</v>
      </c>
      <c r="I4" s="1">
        <f>SUMIF('Rennen 4'!$D$3:$D$26,Teamauswertung!$C4,'Rennen 4'!$I$3:$I$26)</f>
        <v>0</v>
      </c>
      <c r="J4" s="1">
        <f>SUMIF('Rennen 5'!$D$3:$D$26,Teamauswertung!$C4,'Rennen 5'!$I$3:$I$26)</f>
        <v>0</v>
      </c>
      <c r="K4" s="1">
        <f>SUMIF('Rennen 6'!$D$3:$D$26,Teamauswertung!$C4,'Rennen 6'!$I$3:$I$26)</f>
        <v>0</v>
      </c>
      <c r="L4" s="1">
        <f>SUMIF('Rennen 7'!$D$3:$D$26,Teamauswertung!$C4,'Rennen 7'!$I$3:$I$26)</f>
        <v>0</v>
      </c>
      <c r="M4" s="1">
        <f>SUMIF('Rennen 8'!$D$3:$D$26,Teamauswertung!$C4,'Rennen 8'!$I$3:$I$26)</f>
        <v>0</v>
      </c>
      <c r="N4" s="1">
        <f>SUMIF('Rennen 9'!$D$3:$D$26,Teamauswertung!$C4,'Rennen 9'!$I$3:$I$26)</f>
        <v>0</v>
      </c>
      <c r="O4" s="1">
        <f>SUMIF('Rennen 10'!$D$3:$D$26,Teamauswertung!$C4,'Rennen 10'!$I$3:$I$26)</f>
        <v>0</v>
      </c>
      <c r="P4" s="1">
        <f>SUMIF('Rennen 11'!$D$3:$D$26,Teamauswertung!$C4,'Rennen 11'!$I$3:$I$26)</f>
        <v>0</v>
      </c>
      <c r="Q4" s="1">
        <f>SUMIF('Rennen 12'!$D$3:$D$26,Teamauswertung!$C4,'Rennen 12'!$I$3:$I$26)</f>
        <v>0</v>
      </c>
      <c r="R4" s="1">
        <f>SUMIF('Rennen 13'!$D$3:$D$26,Teamauswertung!$C4,'Rennen 13'!$I$3:$I$26)</f>
        <v>0</v>
      </c>
      <c r="S4" s="1">
        <f>SUMIF('Rennen 14'!$D$3:$D$26,Teamauswertung!$C4,'Rennen 14'!$I$3:$I$26)</f>
        <v>0</v>
      </c>
      <c r="T4" s="1">
        <f>SUMIF('Rennen 15'!$D$3:$D$26,Teamauswertung!$C4,'Rennen 15'!$I$3:$I$26)</f>
        <v>0</v>
      </c>
      <c r="U4" s="1">
        <f>SUMIF('Rennen 16'!$D$3:$D$26,Teamauswertung!$C4,'Rennen 16'!$I$3:$I$26)</f>
        <v>0</v>
      </c>
      <c r="V4" s="1">
        <f>SUMIF('Rennen 17'!$D$3:$D$26,Teamauswertung!$C4,'Rennen 17'!$I$3:$I$26)</f>
        <v>0</v>
      </c>
      <c r="W4" s="1">
        <f>SUMIF('Rennen 18'!$D$3:$D$26,Teamauswertung!$C4,'Rennen 18'!$I$3:$I$26)</f>
        <v>0</v>
      </c>
      <c r="X4" s="1">
        <f>SUMIF('Rennen 19'!$D$3:$D$26,Teamauswertung!$C4,'Rennen 19'!$I$3:$I$26)</f>
        <v>0</v>
      </c>
      <c r="Y4" s="1">
        <f>SUMIF('Rennen 20'!$D$3:$D$26,Teamauswertung!$C4,'Rennen 20'!$I$3:$I$26)</f>
        <v>0</v>
      </c>
      <c r="Z4" s="1">
        <f>SUMIF('Rennen 21'!$D$3:$D$26,Teamauswertung!$C4,'Rennen 21'!$I$3:$I$26)</f>
        <v>0</v>
      </c>
      <c r="AA4" s="1">
        <f>SUMIF('Rennen 22'!$D$3:$D$26,Teamauswertung!$C4,'Rennen 22'!$I$3:$I$26)</f>
        <v>0</v>
      </c>
      <c r="AB4" s="1">
        <f>SUMIF('Rennen 23'!$D$3:$D$26,Teamauswertung!$C4,'Rennen 23'!$I$3:$I$26)</f>
        <v>0</v>
      </c>
      <c r="AC4" s="1">
        <f>SUMIF('Rennen 24'!$D$3:$D$26,Teamauswertung!$C4,'Rennen 24'!$I$3:$I$26)</f>
        <v>0</v>
      </c>
      <c r="AD4" s="1">
        <f>SUMIF('Rennen 25'!$D$3:$D$26,Teamauswertung!$C4,'Rennen 25'!$I$3:$I$26)</f>
        <v>0</v>
      </c>
      <c r="AE4" s="1">
        <f>SUMIF('Rennen 26'!$D$3:$D$26,Teamauswertung!$C4,'Rennen 26'!$I$3:$I$26)</f>
        <v>0</v>
      </c>
      <c r="AF4" s="1">
        <f>SUMIF('Rennen 27'!$D$3:$D$26,Teamauswertung!$C4,'Rennen 27'!$I$3:$I$26)</f>
        <v>0</v>
      </c>
      <c r="AG4" s="1">
        <f>SUMIF('Rennen 28'!$D$3:$D$26,Teamauswertung!$C4,'Rennen 28'!$I$3:$I$26)</f>
        <v>0</v>
      </c>
      <c r="AH4" s="1">
        <f>SUMIF('Rennen 29'!$D$3:$D$26,Teamauswertung!$C4,'Rennen 29'!$I$3:$I$26)</f>
        <v>0</v>
      </c>
      <c r="AI4" s="1">
        <f>SUMIF('Rennen 30'!$D$3:$D$26,Teamauswertung!$C4,'Rennen 30'!$I$3:$I$26)</f>
        <v>0</v>
      </c>
    </row>
    <row r="5" spans="1:35" x14ac:dyDescent="0.25">
      <c r="B5" s="12">
        <v>3</v>
      </c>
      <c r="C5" s="12"/>
      <c r="D5" s="12"/>
      <c r="E5" s="1">
        <f>SUM(F5:AI5)</f>
        <v>0</v>
      </c>
      <c r="F5" s="1">
        <f>SUMIF('Rennen 1'!$D$3:$D$26,Teamauswertung!$C5,'Rennen 1'!$I$3:$I$26)</f>
        <v>0</v>
      </c>
      <c r="G5" s="1">
        <f>SUMIF('Rennen 2'!$D$3:$D$26,Teamauswertung!$C5,'Rennen 2'!$I$3:$I$26)</f>
        <v>0</v>
      </c>
      <c r="H5" s="1">
        <f>SUMIF('Rennen 3'!$D$3:$D$26,Teamauswertung!$C5,'Rennen 3'!$I$3:$I$26)</f>
        <v>0</v>
      </c>
      <c r="I5" s="1">
        <f>SUMIF('Rennen 4'!$D$3:$D$26,Teamauswertung!$C5,'Rennen 4'!$I$3:$I$26)</f>
        <v>0</v>
      </c>
      <c r="J5" s="1">
        <f>SUMIF('Rennen 5'!$D$3:$D$26,Teamauswertung!$C5,'Rennen 5'!$I$3:$I$26)</f>
        <v>0</v>
      </c>
      <c r="K5" s="1">
        <f>SUMIF('Rennen 6'!$D$3:$D$26,Teamauswertung!$C5,'Rennen 6'!$I$3:$I$26)</f>
        <v>0</v>
      </c>
      <c r="L5" s="1">
        <f>SUMIF('Rennen 7'!$D$3:$D$26,Teamauswertung!$C5,'Rennen 7'!$I$3:$I$26)</f>
        <v>0</v>
      </c>
      <c r="M5" s="1">
        <f>SUMIF('Rennen 8'!$D$3:$D$26,Teamauswertung!$C5,'Rennen 8'!$I$3:$I$26)</f>
        <v>0</v>
      </c>
      <c r="N5" s="1">
        <f>SUMIF('Rennen 9'!$D$3:$D$26,Teamauswertung!$C5,'Rennen 9'!$I$3:$I$26)</f>
        <v>0</v>
      </c>
      <c r="O5" s="1">
        <f>SUMIF('Rennen 10'!$D$3:$D$26,Teamauswertung!$C5,'Rennen 10'!$I$3:$I$26)</f>
        <v>0</v>
      </c>
      <c r="P5" s="1">
        <f>SUMIF('Rennen 11'!$D$3:$D$26,Teamauswertung!$C5,'Rennen 11'!$I$3:$I$26)</f>
        <v>0</v>
      </c>
      <c r="Q5" s="1">
        <f>SUMIF('Rennen 12'!$D$3:$D$26,Teamauswertung!$C5,'Rennen 12'!$I$3:$I$26)</f>
        <v>0</v>
      </c>
      <c r="R5" s="1">
        <f>SUMIF('Rennen 13'!$D$3:$D$26,Teamauswertung!$C5,'Rennen 13'!$I$3:$I$26)</f>
        <v>0</v>
      </c>
      <c r="S5" s="1">
        <f>SUMIF('Rennen 14'!$D$3:$D$26,Teamauswertung!$C5,'Rennen 14'!$I$3:$I$26)</f>
        <v>0</v>
      </c>
      <c r="T5" s="1">
        <f>SUMIF('Rennen 15'!$D$3:$D$26,Teamauswertung!$C5,'Rennen 15'!$I$3:$I$26)</f>
        <v>0</v>
      </c>
      <c r="U5" s="1">
        <f>SUMIF('Rennen 16'!$D$3:$D$26,Teamauswertung!$C5,'Rennen 16'!$I$3:$I$26)</f>
        <v>0</v>
      </c>
      <c r="V5" s="1">
        <f>SUMIF('Rennen 17'!$D$3:$D$26,Teamauswertung!$C5,'Rennen 17'!$I$3:$I$26)</f>
        <v>0</v>
      </c>
      <c r="W5" s="1">
        <f>SUMIF('Rennen 18'!$D$3:$D$26,Teamauswertung!$C5,'Rennen 18'!$I$3:$I$26)</f>
        <v>0</v>
      </c>
      <c r="X5" s="1">
        <f>SUMIF('Rennen 19'!$D$3:$D$26,Teamauswertung!$C5,'Rennen 19'!$I$3:$I$26)</f>
        <v>0</v>
      </c>
      <c r="Y5" s="1">
        <f>SUMIF('Rennen 20'!$D$3:$D$26,Teamauswertung!$C5,'Rennen 20'!$I$3:$I$26)</f>
        <v>0</v>
      </c>
      <c r="Z5" s="1">
        <f>SUMIF('Rennen 21'!$D$3:$D$26,Teamauswertung!$C5,'Rennen 21'!$I$3:$I$26)</f>
        <v>0</v>
      </c>
      <c r="AA5" s="1">
        <f>SUMIF('Rennen 22'!$D$3:$D$26,Teamauswertung!$C5,'Rennen 22'!$I$3:$I$26)</f>
        <v>0</v>
      </c>
      <c r="AB5" s="1">
        <f>SUMIF('Rennen 23'!$D$3:$D$26,Teamauswertung!$C5,'Rennen 23'!$I$3:$I$26)</f>
        <v>0</v>
      </c>
      <c r="AC5" s="1">
        <f>SUMIF('Rennen 24'!$D$3:$D$26,Teamauswertung!$C5,'Rennen 24'!$I$3:$I$26)</f>
        <v>0</v>
      </c>
      <c r="AD5" s="1">
        <f>SUMIF('Rennen 25'!$D$3:$D$26,Teamauswertung!$C5,'Rennen 25'!$I$3:$I$26)</f>
        <v>0</v>
      </c>
      <c r="AE5" s="1">
        <f>SUMIF('Rennen 26'!$D$3:$D$26,Teamauswertung!$C5,'Rennen 26'!$I$3:$I$26)</f>
        <v>0</v>
      </c>
      <c r="AF5" s="1">
        <f>SUMIF('Rennen 27'!$D$3:$D$26,Teamauswertung!$C5,'Rennen 27'!$I$3:$I$26)</f>
        <v>0</v>
      </c>
      <c r="AG5" s="1">
        <f>SUMIF('Rennen 28'!$D$3:$D$26,Teamauswertung!$C5,'Rennen 28'!$I$3:$I$26)</f>
        <v>0</v>
      </c>
      <c r="AH5" s="1">
        <f>SUMIF('Rennen 29'!$D$3:$D$26,Teamauswertung!$C5,'Rennen 29'!$I$3:$I$26)</f>
        <v>0</v>
      </c>
      <c r="AI5" s="1">
        <f>SUMIF('Rennen 30'!$D$3:$D$26,Teamauswertung!$C5,'Rennen 30'!$I$3:$I$26)</f>
        <v>0</v>
      </c>
    </row>
    <row r="6" spans="1:35" x14ac:dyDescent="0.25">
      <c r="B6" s="12">
        <v>4</v>
      </c>
      <c r="C6" s="12"/>
      <c r="D6" s="12"/>
      <c r="E6" s="1">
        <f>SUM(F6:AI6)</f>
        <v>0</v>
      </c>
      <c r="F6" s="1">
        <f>SUMIF('Rennen 1'!$D$3:$D$26,Teamauswertung!$C6,'Rennen 1'!$I$3:$I$26)</f>
        <v>0</v>
      </c>
      <c r="G6" s="1">
        <f>SUMIF('Rennen 2'!$D$3:$D$26,Teamauswertung!$C6,'Rennen 2'!$I$3:$I$26)</f>
        <v>0</v>
      </c>
      <c r="H6" s="1">
        <f>SUMIF('Rennen 3'!$D$3:$D$26,Teamauswertung!$C6,'Rennen 3'!$I$3:$I$26)</f>
        <v>0</v>
      </c>
      <c r="I6" s="1">
        <f>SUMIF('Rennen 4'!$D$3:$D$26,Teamauswertung!$C6,'Rennen 4'!$I$3:$I$26)</f>
        <v>0</v>
      </c>
      <c r="J6" s="1">
        <f>SUMIF('Rennen 5'!$D$3:$D$26,Teamauswertung!$C6,'Rennen 5'!$I$3:$I$26)</f>
        <v>0</v>
      </c>
      <c r="K6" s="1">
        <f>SUMIF('Rennen 6'!$D$3:$D$26,Teamauswertung!$C6,'Rennen 6'!$I$3:$I$26)</f>
        <v>0</v>
      </c>
      <c r="L6" s="1">
        <f>SUMIF('Rennen 7'!$D$3:$D$26,Teamauswertung!$C6,'Rennen 7'!$I$3:$I$26)</f>
        <v>0</v>
      </c>
      <c r="M6" s="1">
        <f>SUMIF('Rennen 8'!$D$3:$D$26,Teamauswertung!$C6,'Rennen 8'!$I$3:$I$26)</f>
        <v>0</v>
      </c>
      <c r="N6" s="1">
        <f>SUMIF('Rennen 9'!$D$3:$D$26,Teamauswertung!$C6,'Rennen 9'!$I$3:$I$26)</f>
        <v>0</v>
      </c>
      <c r="O6" s="1">
        <f>SUMIF('Rennen 10'!$D$3:$D$26,Teamauswertung!$C6,'Rennen 10'!$I$3:$I$26)</f>
        <v>0</v>
      </c>
      <c r="P6" s="1">
        <f>SUMIF('Rennen 11'!$D$3:$D$26,Teamauswertung!$C6,'Rennen 11'!$I$3:$I$26)</f>
        <v>0</v>
      </c>
      <c r="Q6" s="1">
        <f>SUMIF('Rennen 12'!$D$3:$D$26,Teamauswertung!$C6,'Rennen 12'!$I$3:$I$26)</f>
        <v>0</v>
      </c>
      <c r="R6" s="1">
        <f>SUMIF('Rennen 13'!$D$3:$D$26,Teamauswertung!$C6,'Rennen 13'!$I$3:$I$26)</f>
        <v>0</v>
      </c>
      <c r="S6" s="1">
        <f>SUMIF('Rennen 14'!$D$3:$D$26,Teamauswertung!$C6,'Rennen 14'!$I$3:$I$26)</f>
        <v>0</v>
      </c>
      <c r="T6" s="1">
        <f>SUMIF('Rennen 15'!$D$3:$D$26,Teamauswertung!$C6,'Rennen 15'!$I$3:$I$26)</f>
        <v>0</v>
      </c>
      <c r="U6" s="1">
        <f>SUMIF('Rennen 16'!$D$3:$D$26,Teamauswertung!$C6,'Rennen 16'!$I$3:$I$26)</f>
        <v>0</v>
      </c>
      <c r="V6" s="1">
        <f>SUMIF('Rennen 17'!$D$3:$D$26,Teamauswertung!$C6,'Rennen 17'!$I$3:$I$26)</f>
        <v>0</v>
      </c>
      <c r="W6" s="1">
        <f>SUMIF('Rennen 18'!$D$3:$D$26,Teamauswertung!$C6,'Rennen 18'!$I$3:$I$26)</f>
        <v>0</v>
      </c>
      <c r="X6" s="1">
        <f>SUMIF('Rennen 19'!$D$3:$D$26,Teamauswertung!$C6,'Rennen 19'!$I$3:$I$26)</f>
        <v>0</v>
      </c>
      <c r="Y6" s="1">
        <f>SUMIF('Rennen 20'!$D$3:$D$26,Teamauswertung!$C6,'Rennen 20'!$I$3:$I$26)</f>
        <v>0</v>
      </c>
      <c r="Z6" s="1">
        <f>SUMIF('Rennen 21'!$D$3:$D$26,Teamauswertung!$C6,'Rennen 21'!$I$3:$I$26)</f>
        <v>0</v>
      </c>
      <c r="AA6" s="1">
        <f>SUMIF('Rennen 22'!$D$3:$D$26,Teamauswertung!$C6,'Rennen 22'!$I$3:$I$26)</f>
        <v>0</v>
      </c>
      <c r="AB6" s="1">
        <f>SUMIF('Rennen 23'!$D$3:$D$26,Teamauswertung!$C6,'Rennen 23'!$I$3:$I$26)</f>
        <v>0</v>
      </c>
      <c r="AC6" s="1">
        <f>SUMIF('Rennen 24'!$D$3:$D$26,Teamauswertung!$C6,'Rennen 24'!$I$3:$I$26)</f>
        <v>0</v>
      </c>
      <c r="AD6" s="1">
        <f>SUMIF('Rennen 25'!$D$3:$D$26,Teamauswertung!$C6,'Rennen 25'!$I$3:$I$26)</f>
        <v>0</v>
      </c>
      <c r="AE6" s="1">
        <f>SUMIF('Rennen 26'!$D$3:$D$26,Teamauswertung!$C6,'Rennen 26'!$I$3:$I$26)</f>
        <v>0</v>
      </c>
      <c r="AF6" s="1">
        <f>SUMIF('Rennen 27'!$D$3:$D$26,Teamauswertung!$C6,'Rennen 27'!$I$3:$I$26)</f>
        <v>0</v>
      </c>
      <c r="AG6" s="1">
        <f>SUMIF('Rennen 28'!$D$3:$D$26,Teamauswertung!$C6,'Rennen 28'!$I$3:$I$26)</f>
        <v>0</v>
      </c>
      <c r="AH6" s="1">
        <f>SUMIF('Rennen 29'!$D$3:$D$26,Teamauswertung!$C6,'Rennen 29'!$I$3:$I$26)</f>
        <v>0</v>
      </c>
      <c r="AI6" s="1">
        <f>SUMIF('Rennen 30'!$D$3:$D$26,Teamauswertung!$C6,'Rennen 30'!$I$3:$I$26)</f>
        <v>0</v>
      </c>
    </row>
    <row r="7" spans="1:35" x14ac:dyDescent="0.25">
      <c r="B7" s="12">
        <v>5</v>
      </c>
      <c r="C7" s="12"/>
      <c r="D7" s="12"/>
      <c r="E7" s="1">
        <f>SUM(F7:AI7)</f>
        <v>0</v>
      </c>
      <c r="F7" s="1">
        <f>SUMIF('Rennen 1'!$D$3:$D$26,Teamauswertung!$C7,'Rennen 1'!$I$3:$I$26)</f>
        <v>0</v>
      </c>
      <c r="G7" s="1">
        <f>SUMIF('Rennen 2'!$D$3:$D$26,Teamauswertung!$C7,'Rennen 2'!$I$3:$I$26)</f>
        <v>0</v>
      </c>
      <c r="H7" s="1">
        <f>SUMIF('Rennen 3'!$D$3:$D$26,Teamauswertung!$C7,'Rennen 3'!$I$3:$I$26)</f>
        <v>0</v>
      </c>
      <c r="I7" s="1">
        <f>SUMIF('Rennen 4'!$D$3:$D$26,Teamauswertung!$C7,'Rennen 4'!$I$3:$I$26)</f>
        <v>0</v>
      </c>
      <c r="J7" s="1">
        <f>SUMIF('Rennen 5'!$D$3:$D$26,Teamauswertung!$C7,'Rennen 5'!$I$3:$I$26)</f>
        <v>0</v>
      </c>
      <c r="K7" s="1">
        <f>SUMIF('Rennen 6'!$D$3:$D$26,Teamauswertung!$C7,'Rennen 6'!$I$3:$I$26)</f>
        <v>0</v>
      </c>
      <c r="L7" s="1">
        <f>SUMIF('Rennen 7'!$D$3:$D$26,Teamauswertung!$C7,'Rennen 7'!$I$3:$I$26)</f>
        <v>0</v>
      </c>
      <c r="M7" s="1">
        <f>SUMIF('Rennen 8'!$D$3:$D$26,Teamauswertung!$C7,'Rennen 8'!$I$3:$I$26)</f>
        <v>0</v>
      </c>
      <c r="N7" s="1">
        <f>SUMIF('Rennen 9'!$D$3:$D$26,Teamauswertung!$C7,'Rennen 9'!$I$3:$I$26)</f>
        <v>0</v>
      </c>
      <c r="O7" s="1">
        <f>SUMIF('Rennen 10'!$D$3:$D$26,Teamauswertung!$C7,'Rennen 10'!$I$3:$I$26)</f>
        <v>0</v>
      </c>
      <c r="P7" s="1">
        <f>SUMIF('Rennen 11'!$D$3:$D$26,Teamauswertung!$C7,'Rennen 11'!$I$3:$I$26)</f>
        <v>0</v>
      </c>
      <c r="Q7" s="1">
        <f>SUMIF('Rennen 12'!$D$3:$D$26,Teamauswertung!$C7,'Rennen 12'!$I$3:$I$26)</f>
        <v>0</v>
      </c>
      <c r="R7" s="1">
        <f>SUMIF('Rennen 13'!$D$3:$D$26,Teamauswertung!$C7,'Rennen 13'!$I$3:$I$26)</f>
        <v>0</v>
      </c>
      <c r="S7" s="1">
        <f>SUMIF('Rennen 14'!$D$3:$D$26,Teamauswertung!$C7,'Rennen 14'!$I$3:$I$26)</f>
        <v>0</v>
      </c>
      <c r="T7" s="1">
        <f>SUMIF('Rennen 15'!$D$3:$D$26,Teamauswertung!$C7,'Rennen 15'!$I$3:$I$26)</f>
        <v>0</v>
      </c>
      <c r="U7" s="1">
        <f>SUMIF('Rennen 16'!$D$3:$D$26,Teamauswertung!$C7,'Rennen 16'!$I$3:$I$26)</f>
        <v>0</v>
      </c>
      <c r="V7" s="1">
        <f>SUMIF('Rennen 17'!$D$3:$D$26,Teamauswertung!$C7,'Rennen 17'!$I$3:$I$26)</f>
        <v>0</v>
      </c>
      <c r="W7" s="1">
        <f>SUMIF('Rennen 18'!$D$3:$D$26,Teamauswertung!$C7,'Rennen 18'!$I$3:$I$26)</f>
        <v>0</v>
      </c>
      <c r="X7" s="1">
        <f>SUMIF('Rennen 19'!$D$3:$D$26,Teamauswertung!$C7,'Rennen 19'!$I$3:$I$26)</f>
        <v>0</v>
      </c>
      <c r="Y7" s="1">
        <f>SUMIF('Rennen 20'!$D$3:$D$26,Teamauswertung!$C7,'Rennen 20'!$I$3:$I$26)</f>
        <v>0</v>
      </c>
      <c r="Z7" s="1">
        <f>SUMIF('Rennen 21'!$D$3:$D$26,Teamauswertung!$C7,'Rennen 21'!$I$3:$I$26)</f>
        <v>0</v>
      </c>
      <c r="AA7" s="1">
        <f>SUMIF('Rennen 22'!$D$3:$D$26,Teamauswertung!$C7,'Rennen 22'!$I$3:$I$26)</f>
        <v>0</v>
      </c>
      <c r="AB7" s="1">
        <f>SUMIF('Rennen 23'!$D$3:$D$26,Teamauswertung!$C7,'Rennen 23'!$I$3:$I$26)</f>
        <v>0</v>
      </c>
      <c r="AC7" s="1">
        <f>SUMIF('Rennen 24'!$D$3:$D$26,Teamauswertung!$C7,'Rennen 24'!$I$3:$I$26)</f>
        <v>0</v>
      </c>
      <c r="AD7" s="1">
        <f>SUMIF('Rennen 25'!$D$3:$D$26,Teamauswertung!$C7,'Rennen 25'!$I$3:$I$26)</f>
        <v>0</v>
      </c>
      <c r="AE7" s="1">
        <f>SUMIF('Rennen 26'!$D$3:$D$26,Teamauswertung!$C7,'Rennen 26'!$I$3:$I$26)</f>
        <v>0</v>
      </c>
      <c r="AF7" s="1">
        <f>SUMIF('Rennen 27'!$D$3:$D$26,Teamauswertung!$C7,'Rennen 27'!$I$3:$I$26)</f>
        <v>0</v>
      </c>
      <c r="AG7" s="1">
        <f>SUMIF('Rennen 28'!$D$3:$D$26,Teamauswertung!$C7,'Rennen 28'!$I$3:$I$26)</f>
        <v>0</v>
      </c>
      <c r="AH7" s="1">
        <f>SUMIF('Rennen 29'!$D$3:$D$26,Teamauswertung!$C7,'Rennen 29'!$I$3:$I$26)</f>
        <v>0</v>
      </c>
      <c r="AI7" s="1">
        <f>SUMIF('Rennen 30'!$D$3:$D$26,Teamauswertung!$C7,'Rennen 30'!$I$3:$I$26)</f>
        <v>0</v>
      </c>
    </row>
    <row r="8" spans="1:35" x14ac:dyDescent="0.25">
      <c r="B8" s="12">
        <v>6</v>
      </c>
      <c r="C8" s="12"/>
      <c r="D8" s="12"/>
      <c r="E8" s="1">
        <f>SUM(F8:AI8)</f>
        <v>0</v>
      </c>
      <c r="F8" s="1">
        <f>SUMIF('Rennen 1'!$D$3:$D$26,Teamauswertung!$C8,'Rennen 1'!$I$3:$I$26)</f>
        <v>0</v>
      </c>
      <c r="G8" s="1">
        <f>SUMIF('Rennen 2'!$D$3:$D$26,Teamauswertung!$C8,'Rennen 2'!$I$3:$I$26)</f>
        <v>0</v>
      </c>
      <c r="H8" s="1">
        <f>SUMIF('Rennen 3'!$D$3:$D$26,Teamauswertung!$C8,'Rennen 3'!$I$3:$I$26)</f>
        <v>0</v>
      </c>
      <c r="I8" s="1">
        <f>SUMIF('Rennen 4'!$D$3:$D$26,Teamauswertung!$C8,'Rennen 4'!$I$3:$I$26)</f>
        <v>0</v>
      </c>
      <c r="J8" s="1">
        <f>SUMIF('Rennen 5'!$D$3:$D$26,Teamauswertung!$C8,'Rennen 5'!$I$3:$I$26)</f>
        <v>0</v>
      </c>
      <c r="K8" s="1">
        <f>SUMIF('Rennen 6'!$D$3:$D$26,Teamauswertung!$C8,'Rennen 6'!$I$3:$I$26)</f>
        <v>0</v>
      </c>
      <c r="L8" s="1">
        <f>SUMIF('Rennen 7'!$D$3:$D$26,Teamauswertung!$C8,'Rennen 7'!$I$3:$I$26)</f>
        <v>0</v>
      </c>
      <c r="M8" s="1">
        <f>SUMIF('Rennen 8'!$D$3:$D$26,Teamauswertung!$C8,'Rennen 8'!$I$3:$I$26)</f>
        <v>0</v>
      </c>
      <c r="N8" s="1">
        <f>SUMIF('Rennen 9'!$D$3:$D$26,Teamauswertung!$C8,'Rennen 9'!$I$3:$I$26)</f>
        <v>0</v>
      </c>
      <c r="O8" s="1">
        <f>SUMIF('Rennen 10'!$D$3:$D$26,Teamauswertung!$C8,'Rennen 10'!$I$3:$I$26)</f>
        <v>0</v>
      </c>
      <c r="P8" s="1">
        <f>SUMIF('Rennen 11'!$D$3:$D$26,Teamauswertung!$C8,'Rennen 11'!$I$3:$I$26)</f>
        <v>0</v>
      </c>
      <c r="Q8" s="1">
        <f>SUMIF('Rennen 12'!$D$3:$D$26,Teamauswertung!$C8,'Rennen 12'!$I$3:$I$26)</f>
        <v>0</v>
      </c>
      <c r="R8" s="1">
        <f>SUMIF('Rennen 13'!$D$3:$D$26,Teamauswertung!$C8,'Rennen 13'!$I$3:$I$26)</f>
        <v>0</v>
      </c>
      <c r="S8" s="1">
        <f>SUMIF('Rennen 14'!$D$3:$D$26,Teamauswertung!$C8,'Rennen 14'!$I$3:$I$26)</f>
        <v>0</v>
      </c>
      <c r="T8" s="1">
        <f>SUMIF('Rennen 15'!$D$3:$D$26,Teamauswertung!$C8,'Rennen 15'!$I$3:$I$26)</f>
        <v>0</v>
      </c>
      <c r="U8" s="1">
        <f>SUMIF('Rennen 16'!$D$3:$D$26,Teamauswertung!$C8,'Rennen 16'!$I$3:$I$26)</f>
        <v>0</v>
      </c>
      <c r="V8" s="1">
        <f>SUMIF('Rennen 17'!$D$3:$D$26,Teamauswertung!$C8,'Rennen 17'!$I$3:$I$26)</f>
        <v>0</v>
      </c>
      <c r="W8" s="1">
        <f>SUMIF('Rennen 18'!$D$3:$D$26,Teamauswertung!$C8,'Rennen 18'!$I$3:$I$26)</f>
        <v>0</v>
      </c>
      <c r="X8" s="1">
        <f>SUMIF('Rennen 19'!$D$3:$D$26,Teamauswertung!$C8,'Rennen 19'!$I$3:$I$26)</f>
        <v>0</v>
      </c>
      <c r="Y8" s="1">
        <f>SUMIF('Rennen 20'!$D$3:$D$26,Teamauswertung!$C8,'Rennen 20'!$I$3:$I$26)</f>
        <v>0</v>
      </c>
      <c r="Z8" s="1">
        <f>SUMIF('Rennen 21'!$D$3:$D$26,Teamauswertung!$C8,'Rennen 21'!$I$3:$I$26)</f>
        <v>0</v>
      </c>
      <c r="AA8" s="1">
        <f>SUMIF('Rennen 22'!$D$3:$D$26,Teamauswertung!$C8,'Rennen 22'!$I$3:$I$26)</f>
        <v>0</v>
      </c>
      <c r="AB8" s="1">
        <f>SUMIF('Rennen 23'!$D$3:$D$26,Teamauswertung!$C8,'Rennen 23'!$I$3:$I$26)</f>
        <v>0</v>
      </c>
      <c r="AC8" s="1">
        <f>SUMIF('Rennen 24'!$D$3:$D$26,Teamauswertung!$C8,'Rennen 24'!$I$3:$I$26)</f>
        <v>0</v>
      </c>
      <c r="AD8" s="1">
        <f>SUMIF('Rennen 25'!$D$3:$D$26,Teamauswertung!$C8,'Rennen 25'!$I$3:$I$26)</f>
        <v>0</v>
      </c>
      <c r="AE8" s="1">
        <f>SUMIF('Rennen 26'!$D$3:$D$26,Teamauswertung!$C8,'Rennen 26'!$I$3:$I$26)</f>
        <v>0</v>
      </c>
      <c r="AF8" s="1">
        <f>SUMIF('Rennen 27'!$D$3:$D$26,Teamauswertung!$C8,'Rennen 27'!$I$3:$I$26)</f>
        <v>0</v>
      </c>
      <c r="AG8" s="1">
        <f>SUMIF('Rennen 28'!$D$3:$D$26,Teamauswertung!$C8,'Rennen 28'!$I$3:$I$26)</f>
        <v>0</v>
      </c>
      <c r="AH8" s="1">
        <f>SUMIF('Rennen 29'!$D$3:$D$26,Teamauswertung!$C8,'Rennen 29'!$I$3:$I$26)</f>
        <v>0</v>
      </c>
      <c r="AI8" s="1">
        <f>SUMIF('Rennen 30'!$D$3:$D$26,Teamauswertung!$C8,'Rennen 30'!$I$3:$I$26)</f>
        <v>0</v>
      </c>
    </row>
    <row r="9" spans="1:35" x14ac:dyDescent="0.25">
      <c r="B9" s="12">
        <v>7</v>
      </c>
      <c r="C9" s="12"/>
      <c r="D9" s="12"/>
      <c r="E9" s="1">
        <f>SUM(F9:AI9)</f>
        <v>0</v>
      </c>
      <c r="F9" s="1">
        <f>SUMIF('Rennen 1'!$D$3:$D$26,Teamauswertung!$C9,'Rennen 1'!$I$3:$I$26)</f>
        <v>0</v>
      </c>
      <c r="G9" s="1">
        <f>SUMIF('Rennen 2'!$D$3:$D$26,Teamauswertung!$C9,'Rennen 2'!$I$3:$I$26)</f>
        <v>0</v>
      </c>
      <c r="H9" s="1">
        <f>SUMIF('Rennen 3'!$D$3:$D$26,Teamauswertung!$C9,'Rennen 3'!$I$3:$I$26)</f>
        <v>0</v>
      </c>
      <c r="I9" s="1">
        <f>SUMIF('Rennen 4'!$D$3:$D$26,Teamauswertung!$C9,'Rennen 4'!$I$3:$I$26)</f>
        <v>0</v>
      </c>
      <c r="J9" s="1">
        <f>SUMIF('Rennen 5'!$D$3:$D$26,Teamauswertung!$C9,'Rennen 5'!$I$3:$I$26)</f>
        <v>0</v>
      </c>
      <c r="K9" s="1">
        <f>SUMIF('Rennen 6'!$D$3:$D$26,Teamauswertung!$C9,'Rennen 6'!$I$3:$I$26)</f>
        <v>0</v>
      </c>
      <c r="L9" s="1">
        <f>SUMIF('Rennen 7'!$D$3:$D$26,Teamauswertung!$C9,'Rennen 7'!$I$3:$I$26)</f>
        <v>0</v>
      </c>
      <c r="M9" s="1">
        <f>SUMIF('Rennen 8'!$D$3:$D$26,Teamauswertung!$C9,'Rennen 8'!$I$3:$I$26)</f>
        <v>0</v>
      </c>
      <c r="N9" s="1">
        <f>SUMIF('Rennen 9'!$D$3:$D$26,Teamauswertung!$C9,'Rennen 9'!$I$3:$I$26)</f>
        <v>0</v>
      </c>
      <c r="O9" s="1">
        <f>SUMIF('Rennen 10'!$D$3:$D$26,Teamauswertung!$C9,'Rennen 10'!$I$3:$I$26)</f>
        <v>0</v>
      </c>
      <c r="P9" s="1">
        <f>SUMIF('Rennen 11'!$D$3:$D$26,Teamauswertung!$C9,'Rennen 11'!$I$3:$I$26)</f>
        <v>0</v>
      </c>
      <c r="Q9" s="1">
        <f>SUMIF('Rennen 12'!$D$3:$D$26,Teamauswertung!$C9,'Rennen 12'!$I$3:$I$26)</f>
        <v>0</v>
      </c>
      <c r="R9" s="1">
        <f>SUMIF('Rennen 13'!$D$3:$D$26,Teamauswertung!$C9,'Rennen 13'!$I$3:$I$26)</f>
        <v>0</v>
      </c>
      <c r="S9" s="1">
        <f>SUMIF('Rennen 14'!$D$3:$D$26,Teamauswertung!$C9,'Rennen 14'!$I$3:$I$26)</f>
        <v>0</v>
      </c>
      <c r="T9" s="1">
        <f>SUMIF('Rennen 15'!$D$3:$D$26,Teamauswertung!$C9,'Rennen 15'!$I$3:$I$26)</f>
        <v>0</v>
      </c>
      <c r="U9" s="1">
        <f>SUMIF('Rennen 16'!$D$3:$D$26,Teamauswertung!$C9,'Rennen 16'!$I$3:$I$26)</f>
        <v>0</v>
      </c>
      <c r="V9" s="1">
        <f>SUMIF('Rennen 17'!$D$3:$D$26,Teamauswertung!$C9,'Rennen 17'!$I$3:$I$26)</f>
        <v>0</v>
      </c>
      <c r="W9" s="1">
        <f>SUMIF('Rennen 18'!$D$3:$D$26,Teamauswertung!$C9,'Rennen 18'!$I$3:$I$26)</f>
        <v>0</v>
      </c>
      <c r="X9" s="1">
        <f>SUMIF('Rennen 19'!$D$3:$D$26,Teamauswertung!$C9,'Rennen 19'!$I$3:$I$26)</f>
        <v>0</v>
      </c>
      <c r="Y9" s="1">
        <f>SUMIF('Rennen 20'!$D$3:$D$26,Teamauswertung!$C9,'Rennen 20'!$I$3:$I$26)</f>
        <v>0</v>
      </c>
      <c r="Z9" s="1">
        <f>SUMIF('Rennen 21'!$D$3:$D$26,Teamauswertung!$C9,'Rennen 21'!$I$3:$I$26)</f>
        <v>0</v>
      </c>
      <c r="AA9" s="1">
        <f>SUMIF('Rennen 22'!$D$3:$D$26,Teamauswertung!$C9,'Rennen 22'!$I$3:$I$26)</f>
        <v>0</v>
      </c>
      <c r="AB9" s="1">
        <f>SUMIF('Rennen 23'!$D$3:$D$26,Teamauswertung!$C9,'Rennen 23'!$I$3:$I$26)</f>
        <v>0</v>
      </c>
      <c r="AC9" s="1">
        <f>SUMIF('Rennen 24'!$D$3:$D$26,Teamauswertung!$C9,'Rennen 24'!$I$3:$I$26)</f>
        <v>0</v>
      </c>
      <c r="AD9" s="1">
        <f>SUMIF('Rennen 25'!$D$3:$D$26,Teamauswertung!$C9,'Rennen 25'!$I$3:$I$26)</f>
        <v>0</v>
      </c>
      <c r="AE9" s="1">
        <f>SUMIF('Rennen 26'!$D$3:$D$26,Teamauswertung!$C9,'Rennen 26'!$I$3:$I$26)</f>
        <v>0</v>
      </c>
      <c r="AF9" s="1">
        <f>SUMIF('Rennen 27'!$D$3:$D$26,Teamauswertung!$C9,'Rennen 27'!$I$3:$I$26)</f>
        <v>0</v>
      </c>
      <c r="AG9" s="1">
        <f>SUMIF('Rennen 28'!$D$3:$D$26,Teamauswertung!$C9,'Rennen 28'!$I$3:$I$26)</f>
        <v>0</v>
      </c>
      <c r="AH9" s="1">
        <f>SUMIF('Rennen 29'!$D$3:$D$26,Teamauswertung!$C9,'Rennen 29'!$I$3:$I$26)</f>
        <v>0</v>
      </c>
      <c r="AI9" s="1">
        <f>SUMIF('Rennen 30'!$D$3:$D$26,Teamauswertung!$C9,'Rennen 30'!$I$3:$I$26)</f>
        <v>0</v>
      </c>
    </row>
    <row r="10" spans="1:35" x14ac:dyDescent="0.25">
      <c r="B10" s="12">
        <v>8</v>
      </c>
      <c r="C10" s="12"/>
      <c r="D10" s="12"/>
      <c r="E10" s="1">
        <f>SUM(F10:AI10)</f>
        <v>0</v>
      </c>
      <c r="F10" s="1">
        <f>SUMIF('Rennen 1'!$D$3:$D$26,Teamauswertung!$C10,'Rennen 1'!$I$3:$I$26)</f>
        <v>0</v>
      </c>
      <c r="G10" s="1">
        <f>SUMIF('Rennen 2'!$D$3:$D$26,Teamauswertung!$C10,'Rennen 2'!$I$3:$I$26)</f>
        <v>0</v>
      </c>
      <c r="H10" s="1">
        <f>SUMIF('Rennen 3'!$D$3:$D$26,Teamauswertung!$C10,'Rennen 3'!$I$3:$I$26)</f>
        <v>0</v>
      </c>
      <c r="I10" s="1">
        <f>SUMIF('Rennen 4'!$D$3:$D$26,Teamauswertung!$C10,'Rennen 4'!$I$3:$I$26)</f>
        <v>0</v>
      </c>
      <c r="J10" s="1">
        <f>SUMIF('Rennen 5'!$D$3:$D$26,Teamauswertung!$C10,'Rennen 5'!$I$3:$I$26)</f>
        <v>0</v>
      </c>
      <c r="K10" s="1">
        <f>SUMIF('Rennen 6'!$D$3:$D$26,Teamauswertung!$C10,'Rennen 6'!$I$3:$I$26)</f>
        <v>0</v>
      </c>
      <c r="L10" s="1">
        <f>SUMIF('Rennen 7'!$D$3:$D$26,Teamauswertung!$C10,'Rennen 7'!$I$3:$I$26)</f>
        <v>0</v>
      </c>
      <c r="M10" s="1">
        <f>SUMIF('Rennen 8'!$D$3:$D$26,Teamauswertung!$C10,'Rennen 8'!$I$3:$I$26)</f>
        <v>0</v>
      </c>
      <c r="N10" s="1">
        <f>SUMIF('Rennen 9'!$D$3:$D$26,Teamauswertung!$C10,'Rennen 9'!$I$3:$I$26)</f>
        <v>0</v>
      </c>
      <c r="O10" s="1">
        <f>SUMIF('Rennen 10'!$D$3:$D$26,Teamauswertung!$C10,'Rennen 10'!$I$3:$I$26)</f>
        <v>0</v>
      </c>
      <c r="P10" s="1">
        <f>SUMIF('Rennen 11'!$D$3:$D$26,Teamauswertung!$C10,'Rennen 11'!$I$3:$I$26)</f>
        <v>0</v>
      </c>
      <c r="Q10" s="1">
        <f>SUMIF('Rennen 12'!$D$3:$D$26,Teamauswertung!$C10,'Rennen 12'!$I$3:$I$26)</f>
        <v>0</v>
      </c>
      <c r="R10" s="1">
        <f>SUMIF('Rennen 13'!$D$3:$D$26,Teamauswertung!$C10,'Rennen 13'!$I$3:$I$26)</f>
        <v>0</v>
      </c>
      <c r="S10" s="1">
        <f>SUMIF('Rennen 14'!$D$3:$D$26,Teamauswertung!$C10,'Rennen 14'!$I$3:$I$26)</f>
        <v>0</v>
      </c>
      <c r="T10" s="1">
        <f>SUMIF('Rennen 15'!$D$3:$D$26,Teamauswertung!$C10,'Rennen 15'!$I$3:$I$26)</f>
        <v>0</v>
      </c>
      <c r="U10" s="1">
        <f>SUMIF('Rennen 16'!$D$3:$D$26,Teamauswertung!$C10,'Rennen 16'!$I$3:$I$26)</f>
        <v>0</v>
      </c>
      <c r="V10" s="1">
        <f>SUMIF('Rennen 17'!$D$3:$D$26,Teamauswertung!$C10,'Rennen 17'!$I$3:$I$26)</f>
        <v>0</v>
      </c>
      <c r="W10" s="1">
        <f>SUMIF('Rennen 18'!$D$3:$D$26,Teamauswertung!$C10,'Rennen 18'!$I$3:$I$26)</f>
        <v>0</v>
      </c>
      <c r="X10" s="1">
        <f>SUMIF('Rennen 19'!$D$3:$D$26,Teamauswertung!$C10,'Rennen 19'!$I$3:$I$26)</f>
        <v>0</v>
      </c>
      <c r="Y10" s="1">
        <f>SUMIF('Rennen 20'!$D$3:$D$26,Teamauswertung!$C10,'Rennen 20'!$I$3:$I$26)</f>
        <v>0</v>
      </c>
      <c r="Z10" s="1">
        <f>SUMIF('Rennen 21'!$D$3:$D$26,Teamauswertung!$C10,'Rennen 21'!$I$3:$I$26)</f>
        <v>0</v>
      </c>
      <c r="AA10" s="1">
        <f>SUMIF('Rennen 22'!$D$3:$D$26,Teamauswertung!$C10,'Rennen 22'!$I$3:$I$26)</f>
        <v>0</v>
      </c>
      <c r="AB10" s="1">
        <f>SUMIF('Rennen 23'!$D$3:$D$26,Teamauswertung!$C10,'Rennen 23'!$I$3:$I$26)</f>
        <v>0</v>
      </c>
      <c r="AC10" s="1">
        <f>SUMIF('Rennen 24'!$D$3:$D$26,Teamauswertung!$C10,'Rennen 24'!$I$3:$I$26)</f>
        <v>0</v>
      </c>
      <c r="AD10" s="1">
        <f>SUMIF('Rennen 25'!$D$3:$D$26,Teamauswertung!$C10,'Rennen 25'!$I$3:$I$26)</f>
        <v>0</v>
      </c>
      <c r="AE10" s="1">
        <f>SUMIF('Rennen 26'!$D$3:$D$26,Teamauswertung!$C10,'Rennen 26'!$I$3:$I$26)</f>
        <v>0</v>
      </c>
      <c r="AF10" s="1">
        <f>SUMIF('Rennen 27'!$D$3:$D$26,Teamauswertung!$C10,'Rennen 27'!$I$3:$I$26)</f>
        <v>0</v>
      </c>
      <c r="AG10" s="1">
        <f>SUMIF('Rennen 28'!$D$3:$D$26,Teamauswertung!$C10,'Rennen 28'!$I$3:$I$26)</f>
        <v>0</v>
      </c>
      <c r="AH10" s="1">
        <f>SUMIF('Rennen 29'!$D$3:$D$26,Teamauswertung!$C10,'Rennen 29'!$I$3:$I$26)</f>
        <v>0</v>
      </c>
      <c r="AI10" s="1">
        <f>SUMIF('Rennen 30'!$D$3:$D$26,Teamauswertung!$C10,'Rennen 30'!$I$3:$I$26)</f>
        <v>0</v>
      </c>
    </row>
    <row r="11" spans="1:35" x14ac:dyDescent="0.25">
      <c r="B11" s="12">
        <v>9</v>
      </c>
      <c r="C11" s="12"/>
      <c r="D11" s="12"/>
      <c r="E11" s="1">
        <f>SUM(F11:AI11)</f>
        <v>0</v>
      </c>
      <c r="F11" s="1">
        <f>SUMIF('Rennen 1'!$D$3:$D$26,Teamauswertung!$C11,'Rennen 1'!$I$3:$I$26)</f>
        <v>0</v>
      </c>
      <c r="G11" s="1">
        <f>SUMIF('Rennen 2'!$D$3:$D$26,Teamauswertung!$C11,'Rennen 2'!$I$3:$I$26)</f>
        <v>0</v>
      </c>
      <c r="H11" s="1">
        <f>SUMIF('Rennen 3'!$D$3:$D$26,Teamauswertung!$C11,'Rennen 3'!$I$3:$I$26)</f>
        <v>0</v>
      </c>
      <c r="I11" s="1">
        <f>SUMIF('Rennen 4'!$D$3:$D$26,Teamauswertung!$C11,'Rennen 4'!$I$3:$I$26)</f>
        <v>0</v>
      </c>
      <c r="J11" s="1">
        <f>SUMIF('Rennen 5'!$D$3:$D$26,Teamauswertung!$C11,'Rennen 5'!$I$3:$I$26)</f>
        <v>0</v>
      </c>
      <c r="K11" s="1">
        <f>SUMIF('Rennen 6'!$D$3:$D$26,Teamauswertung!$C11,'Rennen 6'!$I$3:$I$26)</f>
        <v>0</v>
      </c>
      <c r="L11" s="1">
        <f>SUMIF('Rennen 7'!$D$3:$D$26,Teamauswertung!$C11,'Rennen 7'!$I$3:$I$26)</f>
        <v>0</v>
      </c>
      <c r="M11" s="1">
        <f>SUMIF('Rennen 8'!$D$3:$D$26,Teamauswertung!$C11,'Rennen 8'!$I$3:$I$26)</f>
        <v>0</v>
      </c>
      <c r="N11" s="1">
        <f>SUMIF('Rennen 9'!$D$3:$D$26,Teamauswertung!$C11,'Rennen 9'!$I$3:$I$26)</f>
        <v>0</v>
      </c>
      <c r="O11" s="1">
        <f>SUMIF('Rennen 10'!$D$3:$D$26,Teamauswertung!$C11,'Rennen 10'!$I$3:$I$26)</f>
        <v>0</v>
      </c>
      <c r="P11" s="1">
        <f>SUMIF('Rennen 11'!$D$3:$D$26,Teamauswertung!$C11,'Rennen 11'!$I$3:$I$26)</f>
        <v>0</v>
      </c>
      <c r="Q11" s="1">
        <f>SUMIF('Rennen 12'!$D$3:$D$26,Teamauswertung!$C11,'Rennen 12'!$I$3:$I$26)</f>
        <v>0</v>
      </c>
      <c r="R11" s="1">
        <f>SUMIF('Rennen 13'!$D$3:$D$26,Teamauswertung!$C11,'Rennen 13'!$I$3:$I$26)</f>
        <v>0</v>
      </c>
      <c r="S11" s="1">
        <f>SUMIF('Rennen 14'!$D$3:$D$26,Teamauswertung!$C11,'Rennen 14'!$I$3:$I$26)</f>
        <v>0</v>
      </c>
      <c r="T11" s="1">
        <f>SUMIF('Rennen 15'!$D$3:$D$26,Teamauswertung!$C11,'Rennen 15'!$I$3:$I$26)</f>
        <v>0</v>
      </c>
      <c r="U11" s="1">
        <f>SUMIF('Rennen 16'!$D$3:$D$26,Teamauswertung!$C11,'Rennen 16'!$I$3:$I$26)</f>
        <v>0</v>
      </c>
      <c r="V11" s="1">
        <f>SUMIF('Rennen 17'!$D$3:$D$26,Teamauswertung!$C11,'Rennen 17'!$I$3:$I$26)</f>
        <v>0</v>
      </c>
      <c r="W11" s="1">
        <f>SUMIF('Rennen 18'!$D$3:$D$26,Teamauswertung!$C11,'Rennen 18'!$I$3:$I$26)</f>
        <v>0</v>
      </c>
      <c r="X11" s="1">
        <f>SUMIF('Rennen 19'!$D$3:$D$26,Teamauswertung!$C11,'Rennen 19'!$I$3:$I$26)</f>
        <v>0</v>
      </c>
      <c r="Y11" s="1">
        <f>SUMIF('Rennen 20'!$D$3:$D$26,Teamauswertung!$C11,'Rennen 20'!$I$3:$I$26)</f>
        <v>0</v>
      </c>
      <c r="Z11" s="1">
        <f>SUMIF('Rennen 21'!$D$3:$D$26,Teamauswertung!$C11,'Rennen 21'!$I$3:$I$26)</f>
        <v>0</v>
      </c>
      <c r="AA11" s="1">
        <f>SUMIF('Rennen 22'!$D$3:$D$26,Teamauswertung!$C11,'Rennen 22'!$I$3:$I$26)</f>
        <v>0</v>
      </c>
      <c r="AB11" s="1">
        <f>SUMIF('Rennen 23'!$D$3:$D$26,Teamauswertung!$C11,'Rennen 23'!$I$3:$I$26)</f>
        <v>0</v>
      </c>
      <c r="AC11" s="1">
        <f>SUMIF('Rennen 24'!$D$3:$D$26,Teamauswertung!$C11,'Rennen 24'!$I$3:$I$26)</f>
        <v>0</v>
      </c>
      <c r="AD11" s="1">
        <f>SUMIF('Rennen 25'!$D$3:$D$26,Teamauswertung!$C11,'Rennen 25'!$I$3:$I$26)</f>
        <v>0</v>
      </c>
      <c r="AE11" s="1">
        <f>SUMIF('Rennen 26'!$D$3:$D$26,Teamauswertung!$C11,'Rennen 26'!$I$3:$I$26)</f>
        <v>0</v>
      </c>
      <c r="AF11" s="1">
        <f>SUMIF('Rennen 27'!$D$3:$D$26,Teamauswertung!$C11,'Rennen 27'!$I$3:$I$26)</f>
        <v>0</v>
      </c>
      <c r="AG11" s="1">
        <f>SUMIF('Rennen 28'!$D$3:$D$26,Teamauswertung!$C11,'Rennen 28'!$I$3:$I$26)</f>
        <v>0</v>
      </c>
      <c r="AH11" s="1">
        <f>SUMIF('Rennen 29'!$D$3:$D$26,Teamauswertung!$C11,'Rennen 29'!$I$3:$I$26)</f>
        <v>0</v>
      </c>
      <c r="AI11" s="1">
        <f>SUMIF('Rennen 30'!$D$3:$D$26,Teamauswertung!$C11,'Rennen 30'!$I$3:$I$26)</f>
        <v>0</v>
      </c>
    </row>
    <row r="12" spans="1:35" x14ac:dyDescent="0.25">
      <c r="B12" s="12">
        <v>10</v>
      </c>
      <c r="C12" s="12"/>
      <c r="D12" s="12"/>
      <c r="E12" s="1">
        <f>SUM(F12:AI12)</f>
        <v>0</v>
      </c>
      <c r="F12" s="1">
        <f>SUMIF('Rennen 1'!$D$3:$D$26,Teamauswertung!$C12,'Rennen 1'!$I$3:$I$26)</f>
        <v>0</v>
      </c>
      <c r="G12" s="1">
        <f>SUMIF('Rennen 2'!$D$3:$D$26,Teamauswertung!$C12,'Rennen 2'!$I$3:$I$26)</f>
        <v>0</v>
      </c>
      <c r="H12" s="1">
        <f>SUMIF('Rennen 3'!$D$3:$D$26,Teamauswertung!$C12,'Rennen 3'!$I$3:$I$26)</f>
        <v>0</v>
      </c>
      <c r="I12" s="1">
        <f>SUMIF('Rennen 4'!$D$3:$D$26,Teamauswertung!$C12,'Rennen 4'!$I$3:$I$26)</f>
        <v>0</v>
      </c>
      <c r="J12" s="1">
        <f>SUMIF('Rennen 5'!$D$3:$D$26,Teamauswertung!$C12,'Rennen 5'!$I$3:$I$26)</f>
        <v>0</v>
      </c>
      <c r="K12" s="1">
        <f>SUMIF('Rennen 6'!$D$3:$D$26,Teamauswertung!$C12,'Rennen 6'!$I$3:$I$26)</f>
        <v>0</v>
      </c>
      <c r="L12" s="1">
        <f>SUMIF('Rennen 7'!$D$3:$D$26,Teamauswertung!$C12,'Rennen 7'!$I$3:$I$26)</f>
        <v>0</v>
      </c>
      <c r="M12" s="1">
        <f>SUMIF('Rennen 8'!$D$3:$D$26,Teamauswertung!$C12,'Rennen 8'!$I$3:$I$26)</f>
        <v>0</v>
      </c>
      <c r="N12" s="1">
        <f>SUMIF('Rennen 9'!$D$3:$D$26,Teamauswertung!$C12,'Rennen 9'!$I$3:$I$26)</f>
        <v>0</v>
      </c>
      <c r="O12" s="1">
        <f>SUMIF('Rennen 10'!$D$3:$D$26,Teamauswertung!$C12,'Rennen 10'!$I$3:$I$26)</f>
        <v>0</v>
      </c>
      <c r="P12" s="1">
        <f>SUMIF('Rennen 11'!$D$3:$D$26,Teamauswertung!$C12,'Rennen 11'!$I$3:$I$26)</f>
        <v>0</v>
      </c>
      <c r="Q12" s="1">
        <f>SUMIF('Rennen 12'!$D$3:$D$26,Teamauswertung!$C12,'Rennen 12'!$I$3:$I$26)</f>
        <v>0</v>
      </c>
      <c r="R12" s="1">
        <f>SUMIF('Rennen 13'!$D$3:$D$26,Teamauswertung!$C12,'Rennen 13'!$I$3:$I$26)</f>
        <v>0</v>
      </c>
      <c r="S12" s="1">
        <f>SUMIF('Rennen 14'!$D$3:$D$26,Teamauswertung!$C12,'Rennen 14'!$I$3:$I$26)</f>
        <v>0</v>
      </c>
      <c r="T12" s="1">
        <f>SUMIF('Rennen 15'!$D$3:$D$26,Teamauswertung!$C12,'Rennen 15'!$I$3:$I$26)</f>
        <v>0</v>
      </c>
      <c r="U12" s="1">
        <f>SUMIF('Rennen 16'!$D$3:$D$26,Teamauswertung!$C12,'Rennen 16'!$I$3:$I$26)</f>
        <v>0</v>
      </c>
      <c r="V12" s="1">
        <f>SUMIF('Rennen 17'!$D$3:$D$26,Teamauswertung!$C12,'Rennen 17'!$I$3:$I$26)</f>
        <v>0</v>
      </c>
      <c r="W12" s="1">
        <f>SUMIF('Rennen 18'!$D$3:$D$26,Teamauswertung!$C12,'Rennen 18'!$I$3:$I$26)</f>
        <v>0</v>
      </c>
      <c r="X12" s="1">
        <f>SUMIF('Rennen 19'!$D$3:$D$26,Teamauswertung!$C12,'Rennen 19'!$I$3:$I$26)</f>
        <v>0</v>
      </c>
      <c r="Y12" s="1">
        <f>SUMIF('Rennen 20'!$D$3:$D$26,Teamauswertung!$C12,'Rennen 20'!$I$3:$I$26)</f>
        <v>0</v>
      </c>
      <c r="Z12" s="1">
        <f>SUMIF('Rennen 21'!$D$3:$D$26,Teamauswertung!$C12,'Rennen 21'!$I$3:$I$26)</f>
        <v>0</v>
      </c>
      <c r="AA12" s="1">
        <f>SUMIF('Rennen 22'!$D$3:$D$26,Teamauswertung!$C12,'Rennen 22'!$I$3:$I$26)</f>
        <v>0</v>
      </c>
      <c r="AB12" s="1">
        <f>SUMIF('Rennen 23'!$D$3:$D$26,Teamauswertung!$C12,'Rennen 23'!$I$3:$I$26)</f>
        <v>0</v>
      </c>
      <c r="AC12" s="1">
        <f>SUMIF('Rennen 24'!$D$3:$D$26,Teamauswertung!$C12,'Rennen 24'!$I$3:$I$26)</f>
        <v>0</v>
      </c>
      <c r="AD12" s="1">
        <f>SUMIF('Rennen 25'!$D$3:$D$26,Teamauswertung!$C12,'Rennen 25'!$I$3:$I$26)</f>
        <v>0</v>
      </c>
      <c r="AE12" s="1">
        <f>SUMIF('Rennen 26'!$D$3:$D$26,Teamauswertung!$C12,'Rennen 26'!$I$3:$I$26)</f>
        <v>0</v>
      </c>
      <c r="AF12" s="1">
        <f>SUMIF('Rennen 27'!$D$3:$D$26,Teamauswertung!$C12,'Rennen 27'!$I$3:$I$26)</f>
        <v>0</v>
      </c>
      <c r="AG12" s="1">
        <f>SUMIF('Rennen 28'!$D$3:$D$26,Teamauswertung!$C12,'Rennen 28'!$I$3:$I$26)</f>
        <v>0</v>
      </c>
      <c r="AH12" s="1">
        <f>SUMIF('Rennen 29'!$D$3:$D$26,Teamauswertung!$C12,'Rennen 29'!$I$3:$I$26)</f>
        <v>0</v>
      </c>
      <c r="AI12" s="1">
        <f>SUMIF('Rennen 30'!$D$3:$D$26,Teamauswertung!$C12,'Rennen 30'!$I$3:$I$26)</f>
        <v>0</v>
      </c>
    </row>
    <row r="13" spans="1:35" x14ac:dyDescent="0.25">
      <c r="B13" s="12">
        <v>11</v>
      </c>
      <c r="C13" s="12"/>
      <c r="D13" s="12"/>
      <c r="E13" s="1">
        <f>SUM(F13:AI13)</f>
        <v>0</v>
      </c>
      <c r="F13" s="1">
        <f>SUMIF('Rennen 1'!$D$3:$D$26,Teamauswertung!$C13,'Rennen 1'!$I$3:$I$26)</f>
        <v>0</v>
      </c>
      <c r="G13" s="1">
        <f>SUMIF('Rennen 2'!$D$3:$D$26,Teamauswertung!$C13,'Rennen 2'!$I$3:$I$26)</f>
        <v>0</v>
      </c>
      <c r="H13" s="1">
        <f>SUMIF('Rennen 3'!$D$3:$D$26,Teamauswertung!$C13,'Rennen 3'!$I$3:$I$26)</f>
        <v>0</v>
      </c>
      <c r="I13" s="1">
        <f>SUMIF('Rennen 4'!$D$3:$D$26,Teamauswertung!$C13,'Rennen 4'!$I$3:$I$26)</f>
        <v>0</v>
      </c>
      <c r="J13" s="1">
        <f>SUMIF('Rennen 5'!$D$3:$D$26,Teamauswertung!$C13,'Rennen 5'!$I$3:$I$26)</f>
        <v>0</v>
      </c>
      <c r="K13" s="1">
        <f>SUMIF('Rennen 6'!$D$3:$D$26,Teamauswertung!$C13,'Rennen 6'!$I$3:$I$26)</f>
        <v>0</v>
      </c>
      <c r="L13" s="1">
        <f>SUMIF('Rennen 7'!$D$3:$D$26,Teamauswertung!$C13,'Rennen 7'!$I$3:$I$26)</f>
        <v>0</v>
      </c>
      <c r="M13" s="1">
        <f>SUMIF('Rennen 8'!$D$3:$D$26,Teamauswertung!$C13,'Rennen 8'!$I$3:$I$26)</f>
        <v>0</v>
      </c>
      <c r="N13" s="1">
        <f>SUMIF('Rennen 9'!$D$3:$D$26,Teamauswertung!$C13,'Rennen 9'!$I$3:$I$26)</f>
        <v>0</v>
      </c>
      <c r="O13" s="1">
        <f>SUMIF('Rennen 10'!$D$3:$D$26,Teamauswertung!$C13,'Rennen 10'!$I$3:$I$26)</f>
        <v>0</v>
      </c>
      <c r="P13" s="1">
        <f>SUMIF('Rennen 11'!$D$3:$D$26,Teamauswertung!$C13,'Rennen 11'!$I$3:$I$26)</f>
        <v>0</v>
      </c>
      <c r="Q13" s="1">
        <f>SUMIF('Rennen 12'!$D$3:$D$26,Teamauswertung!$C13,'Rennen 12'!$I$3:$I$26)</f>
        <v>0</v>
      </c>
      <c r="R13" s="1">
        <f>SUMIF('Rennen 13'!$D$3:$D$26,Teamauswertung!$C13,'Rennen 13'!$I$3:$I$26)</f>
        <v>0</v>
      </c>
      <c r="S13" s="1">
        <f>SUMIF('Rennen 14'!$D$3:$D$26,Teamauswertung!$C13,'Rennen 14'!$I$3:$I$26)</f>
        <v>0</v>
      </c>
      <c r="T13" s="1">
        <f>SUMIF('Rennen 15'!$D$3:$D$26,Teamauswertung!$C13,'Rennen 15'!$I$3:$I$26)</f>
        <v>0</v>
      </c>
      <c r="U13" s="1">
        <f>SUMIF('Rennen 16'!$D$3:$D$26,Teamauswertung!$C13,'Rennen 16'!$I$3:$I$26)</f>
        <v>0</v>
      </c>
      <c r="V13" s="1">
        <f>SUMIF('Rennen 17'!$D$3:$D$26,Teamauswertung!$C13,'Rennen 17'!$I$3:$I$26)</f>
        <v>0</v>
      </c>
      <c r="W13" s="1">
        <f>SUMIF('Rennen 18'!$D$3:$D$26,Teamauswertung!$C13,'Rennen 18'!$I$3:$I$26)</f>
        <v>0</v>
      </c>
      <c r="X13" s="1">
        <f>SUMIF('Rennen 19'!$D$3:$D$26,Teamauswertung!$C13,'Rennen 19'!$I$3:$I$26)</f>
        <v>0</v>
      </c>
      <c r="Y13" s="1">
        <f>SUMIF('Rennen 20'!$D$3:$D$26,Teamauswertung!$C13,'Rennen 20'!$I$3:$I$26)</f>
        <v>0</v>
      </c>
      <c r="Z13" s="1">
        <f>SUMIF('Rennen 21'!$D$3:$D$26,Teamauswertung!$C13,'Rennen 21'!$I$3:$I$26)</f>
        <v>0</v>
      </c>
      <c r="AA13" s="1">
        <f>SUMIF('Rennen 22'!$D$3:$D$26,Teamauswertung!$C13,'Rennen 22'!$I$3:$I$26)</f>
        <v>0</v>
      </c>
      <c r="AB13" s="1">
        <f>SUMIF('Rennen 23'!$D$3:$D$26,Teamauswertung!$C13,'Rennen 23'!$I$3:$I$26)</f>
        <v>0</v>
      </c>
      <c r="AC13" s="1">
        <f>SUMIF('Rennen 24'!$D$3:$D$26,Teamauswertung!$C13,'Rennen 24'!$I$3:$I$26)</f>
        <v>0</v>
      </c>
      <c r="AD13" s="1">
        <f>SUMIF('Rennen 25'!$D$3:$D$26,Teamauswertung!$C13,'Rennen 25'!$I$3:$I$26)</f>
        <v>0</v>
      </c>
      <c r="AE13" s="1">
        <f>SUMIF('Rennen 26'!$D$3:$D$26,Teamauswertung!$C13,'Rennen 26'!$I$3:$I$26)</f>
        <v>0</v>
      </c>
      <c r="AF13" s="1">
        <f>SUMIF('Rennen 27'!$D$3:$D$26,Teamauswertung!$C13,'Rennen 27'!$I$3:$I$26)</f>
        <v>0</v>
      </c>
      <c r="AG13" s="1">
        <f>SUMIF('Rennen 28'!$D$3:$D$26,Teamauswertung!$C13,'Rennen 28'!$I$3:$I$26)</f>
        <v>0</v>
      </c>
      <c r="AH13" s="1">
        <f>SUMIF('Rennen 29'!$D$3:$D$26,Teamauswertung!$C13,'Rennen 29'!$I$3:$I$26)</f>
        <v>0</v>
      </c>
      <c r="AI13" s="1">
        <f>SUMIF('Rennen 30'!$D$3:$D$26,Teamauswertung!$C13,'Rennen 30'!$I$3:$I$26)</f>
        <v>0</v>
      </c>
    </row>
    <row r="14" spans="1:35" x14ac:dyDescent="0.25">
      <c r="B14" s="12">
        <v>12</v>
      </c>
      <c r="C14" s="12"/>
      <c r="D14" s="12"/>
      <c r="E14" s="1">
        <f>SUM(F14:AI14)</f>
        <v>0</v>
      </c>
      <c r="F14" s="1">
        <f>SUMIF('Rennen 1'!$D$3:$D$26,Teamauswertung!$C14,'Rennen 1'!$I$3:$I$26)</f>
        <v>0</v>
      </c>
      <c r="G14" s="1">
        <f>SUMIF('Rennen 2'!$D$3:$D$26,Teamauswertung!$C14,'Rennen 2'!$I$3:$I$26)</f>
        <v>0</v>
      </c>
      <c r="H14" s="1">
        <f>SUMIF('Rennen 3'!$D$3:$D$26,Teamauswertung!$C14,'Rennen 3'!$I$3:$I$26)</f>
        <v>0</v>
      </c>
      <c r="I14" s="1">
        <f>SUMIF('Rennen 4'!$D$3:$D$26,Teamauswertung!$C14,'Rennen 4'!$I$3:$I$26)</f>
        <v>0</v>
      </c>
      <c r="J14" s="1">
        <f>SUMIF('Rennen 5'!$D$3:$D$26,Teamauswertung!$C14,'Rennen 5'!$I$3:$I$26)</f>
        <v>0</v>
      </c>
      <c r="K14" s="1">
        <f>SUMIF('Rennen 6'!$D$3:$D$26,Teamauswertung!$C14,'Rennen 6'!$I$3:$I$26)</f>
        <v>0</v>
      </c>
      <c r="L14" s="1">
        <f>SUMIF('Rennen 7'!$D$3:$D$26,Teamauswertung!$C14,'Rennen 7'!$I$3:$I$26)</f>
        <v>0</v>
      </c>
      <c r="M14" s="1">
        <f>SUMIF('Rennen 8'!$D$3:$D$26,Teamauswertung!$C14,'Rennen 8'!$I$3:$I$26)</f>
        <v>0</v>
      </c>
      <c r="N14" s="1">
        <f>SUMIF('Rennen 9'!$D$3:$D$26,Teamauswertung!$C14,'Rennen 9'!$I$3:$I$26)</f>
        <v>0</v>
      </c>
      <c r="O14" s="1">
        <f>SUMIF('Rennen 10'!$D$3:$D$26,Teamauswertung!$C14,'Rennen 10'!$I$3:$I$26)</f>
        <v>0</v>
      </c>
      <c r="P14" s="1">
        <f>SUMIF('Rennen 11'!$D$3:$D$26,Teamauswertung!$C14,'Rennen 11'!$I$3:$I$26)</f>
        <v>0</v>
      </c>
      <c r="Q14" s="1">
        <f>SUMIF('Rennen 12'!$D$3:$D$26,Teamauswertung!$C14,'Rennen 12'!$I$3:$I$26)</f>
        <v>0</v>
      </c>
      <c r="R14" s="1">
        <f>SUMIF('Rennen 13'!$D$3:$D$26,Teamauswertung!$C14,'Rennen 13'!$I$3:$I$26)</f>
        <v>0</v>
      </c>
      <c r="S14" s="1">
        <f>SUMIF('Rennen 14'!$D$3:$D$26,Teamauswertung!$C14,'Rennen 14'!$I$3:$I$26)</f>
        <v>0</v>
      </c>
      <c r="T14" s="1">
        <f>SUMIF('Rennen 15'!$D$3:$D$26,Teamauswertung!$C14,'Rennen 15'!$I$3:$I$26)</f>
        <v>0</v>
      </c>
      <c r="U14" s="1">
        <f>SUMIF('Rennen 16'!$D$3:$D$26,Teamauswertung!$C14,'Rennen 16'!$I$3:$I$26)</f>
        <v>0</v>
      </c>
      <c r="V14" s="1">
        <f>SUMIF('Rennen 17'!$D$3:$D$26,Teamauswertung!$C14,'Rennen 17'!$I$3:$I$26)</f>
        <v>0</v>
      </c>
      <c r="W14" s="1">
        <f>SUMIF('Rennen 18'!$D$3:$D$26,Teamauswertung!$C14,'Rennen 18'!$I$3:$I$26)</f>
        <v>0</v>
      </c>
      <c r="X14" s="1">
        <f>SUMIF('Rennen 19'!$D$3:$D$26,Teamauswertung!$C14,'Rennen 19'!$I$3:$I$26)</f>
        <v>0</v>
      </c>
      <c r="Y14" s="1">
        <f>SUMIF('Rennen 20'!$D$3:$D$26,Teamauswertung!$C14,'Rennen 20'!$I$3:$I$26)</f>
        <v>0</v>
      </c>
      <c r="Z14" s="1">
        <f>SUMIF('Rennen 21'!$D$3:$D$26,Teamauswertung!$C14,'Rennen 21'!$I$3:$I$26)</f>
        <v>0</v>
      </c>
      <c r="AA14" s="1">
        <f>SUMIF('Rennen 22'!$D$3:$D$26,Teamauswertung!$C14,'Rennen 22'!$I$3:$I$26)</f>
        <v>0</v>
      </c>
      <c r="AB14" s="1">
        <f>SUMIF('Rennen 23'!$D$3:$D$26,Teamauswertung!$C14,'Rennen 23'!$I$3:$I$26)</f>
        <v>0</v>
      </c>
      <c r="AC14" s="1">
        <f>SUMIF('Rennen 24'!$D$3:$D$26,Teamauswertung!$C14,'Rennen 24'!$I$3:$I$26)</f>
        <v>0</v>
      </c>
      <c r="AD14" s="1">
        <f>SUMIF('Rennen 25'!$D$3:$D$26,Teamauswertung!$C14,'Rennen 25'!$I$3:$I$26)</f>
        <v>0</v>
      </c>
      <c r="AE14" s="1">
        <f>SUMIF('Rennen 26'!$D$3:$D$26,Teamauswertung!$C14,'Rennen 26'!$I$3:$I$26)</f>
        <v>0</v>
      </c>
      <c r="AF14" s="1">
        <f>SUMIF('Rennen 27'!$D$3:$D$26,Teamauswertung!$C14,'Rennen 27'!$I$3:$I$26)</f>
        <v>0</v>
      </c>
      <c r="AG14" s="1">
        <f>SUMIF('Rennen 28'!$D$3:$D$26,Teamauswertung!$C14,'Rennen 28'!$I$3:$I$26)</f>
        <v>0</v>
      </c>
      <c r="AH14" s="1">
        <f>SUMIF('Rennen 29'!$D$3:$D$26,Teamauswertung!$C14,'Rennen 29'!$I$3:$I$26)</f>
        <v>0</v>
      </c>
      <c r="AI14" s="1">
        <f>SUMIF('Rennen 30'!$D$3:$D$26,Teamauswertung!$C14,'Rennen 30'!$I$3:$I$26)</f>
        <v>0</v>
      </c>
    </row>
    <row r="15" spans="1:35" x14ac:dyDescent="0.25">
      <c r="B15" s="12">
        <v>13</v>
      </c>
      <c r="C15" s="12"/>
      <c r="D15" s="12"/>
      <c r="E15" s="1">
        <f>SUM(F15:AI15)</f>
        <v>0</v>
      </c>
      <c r="F15" s="1">
        <f>SUMIF('Rennen 1'!$D$3:$D$26,Teamauswertung!$C15,'Rennen 1'!$I$3:$I$26)</f>
        <v>0</v>
      </c>
      <c r="G15" s="1">
        <f>SUMIF('Rennen 2'!$D$3:$D$26,Teamauswertung!$C15,'Rennen 2'!$I$3:$I$26)</f>
        <v>0</v>
      </c>
      <c r="H15" s="1">
        <f>SUMIF('Rennen 3'!$D$3:$D$26,Teamauswertung!$C15,'Rennen 3'!$I$3:$I$26)</f>
        <v>0</v>
      </c>
      <c r="I15" s="1">
        <f>SUMIF('Rennen 4'!$D$3:$D$26,Teamauswertung!$C15,'Rennen 4'!$I$3:$I$26)</f>
        <v>0</v>
      </c>
      <c r="J15" s="1">
        <f>SUMIF('Rennen 5'!$D$3:$D$26,Teamauswertung!$C15,'Rennen 5'!$I$3:$I$26)</f>
        <v>0</v>
      </c>
      <c r="K15" s="1">
        <f>SUMIF('Rennen 6'!$D$3:$D$26,Teamauswertung!$C15,'Rennen 6'!$I$3:$I$26)</f>
        <v>0</v>
      </c>
      <c r="L15" s="1">
        <f>SUMIF('Rennen 7'!$D$3:$D$26,Teamauswertung!$C15,'Rennen 7'!$I$3:$I$26)</f>
        <v>0</v>
      </c>
      <c r="M15" s="1">
        <f>SUMIF('Rennen 8'!$D$3:$D$26,Teamauswertung!$C15,'Rennen 8'!$I$3:$I$26)</f>
        <v>0</v>
      </c>
      <c r="N15" s="1">
        <f>SUMIF('Rennen 9'!$D$3:$D$26,Teamauswertung!$C15,'Rennen 9'!$I$3:$I$26)</f>
        <v>0</v>
      </c>
      <c r="O15" s="1">
        <f>SUMIF('Rennen 10'!$D$3:$D$26,Teamauswertung!$C15,'Rennen 10'!$I$3:$I$26)</f>
        <v>0</v>
      </c>
      <c r="P15" s="1">
        <f>SUMIF('Rennen 11'!$D$3:$D$26,Teamauswertung!$C15,'Rennen 11'!$I$3:$I$26)</f>
        <v>0</v>
      </c>
      <c r="Q15" s="1">
        <f>SUMIF('Rennen 12'!$D$3:$D$26,Teamauswertung!$C15,'Rennen 12'!$I$3:$I$26)</f>
        <v>0</v>
      </c>
      <c r="R15" s="1">
        <f>SUMIF('Rennen 13'!$D$3:$D$26,Teamauswertung!$C15,'Rennen 13'!$I$3:$I$26)</f>
        <v>0</v>
      </c>
      <c r="S15" s="1">
        <f>SUMIF('Rennen 14'!$D$3:$D$26,Teamauswertung!$C15,'Rennen 14'!$I$3:$I$26)</f>
        <v>0</v>
      </c>
      <c r="T15" s="1">
        <f>SUMIF('Rennen 15'!$D$3:$D$26,Teamauswertung!$C15,'Rennen 15'!$I$3:$I$26)</f>
        <v>0</v>
      </c>
      <c r="U15" s="1">
        <f>SUMIF('Rennen 16'!$D$3:$D$26,Teamauswertung!$C15,'Rennen 16'!$I$3:$I$26)</f>
        <v>0</v>
      </c>
      <c r="V15" s="1">
        <f>SUMIF('Rennen 17'!$D$3:$D$26,Teamauswertung!$C15,'Rennen 17'!$I$3:$I$26)</f>
        <v>0</v>
      </c>
      <c r="W15" s="1">
        <f>SUMIF('Rennen 18'!$D$3:$D$26,Teamauswertung!$C15,'Rennen 18'!$I$3:$I$26)</f>
        <v>0</v>
      </c>
      <c r="X15" s="1">
        <f>SUMIF('Rennen 19'!$D$3:$D$26,Teamauswertung!$C15,'Rennen 19'!$I$3:$I$26)</f>
        <v>0</v>
      </c>
      <c r="Y15" s="1">
        <f>SUMIF('Rennen 20'!$D$3:$D$26,Teamauswertung!$C15,'Rennen 20'!$I$3:$I$26)</f>
        <v>0</v>
      </c>
      <c r="Z15" s="1">
        <f>SUMIF('Rennen 21'!$D$3:$D$26,Teamauswertung!$C15,'Rennen 21'!$I$3:$I$26)</f>
        <v>0</v>
      </c>
      <c r="AA15" s="1">
        <f>SUMIF('Rennen 22'!$D$3:$D$26,Teamauswertung!$C15,'Rennen 22'!$I$3:$I$26)</f>
        <v>0</v>
      </c>
      <c r="AB15" s="1">
        <f>SUMIF('Rennen 23'!$D$3:$D$26,Teamauswertung!$C15,'Rennen 23'!$I$3:$I$26)</f>
        <v>0</v>
      </c>
      <c r="AC15" s="1">
        <f>SUMIF('Rennen 24'!$D$3:$D$26,Teamauswertung!$C15,'Rennen 24'!$I$3:$I$26)</f>
        <v>0</v>
      </c>
      <c r="AD15" s="1">
        <f>SUMIF('Rennen 25'!$D$3:$D$26,Teamauswertung!$C15,'Rennen 25'!$I$3:$I$26)</f>
        <v>0</v>
      </c>
      <c r="AE15" s="1">
        <f>SUMIF('Rennen 26'!$D$3:$D$26,Teamauswertung!$C15,'Rennen 26'!$I$3:$I$26)</f>
        <v>0</v>
      </c>
      <c r="AF15" s="1">
        <f>SUMIF('Rennen 27'!$D$3:$D$26,Teamauswertung!$C15,'Rennen 27'!$I$3:$I$26)</f>
        <v>0</v>
      </c>
      <c r="AG15" s="1">
        <f>SUMIF('Rennen 28'!$D$3:$D$26,Teamauswertung!$C15,'Rennen 28'!$I$3:$I$26)</f>
        <v>0</v>
      </c>
      <c r="AH15" s="1">
        <f>SUMIF('Rennen 29'!$D$3:$D$26,Teamauswertung!$C15,'Rennen 29'!$I$3:$I$26)</f>
        <v>0</v>
      </c>
      <c r="AI15" s="1">
        <f>SUMIF('Rennen 30'!$D$3:$D$26,Teamauswertung!$C15,'Rennen 30'!$I$3:$I$26)</f>
        <v>0</v>
      </c>
    </row>
    <row r="16" spans="1:35" x14ac:dyDescent="0.25">
      <c r="B16" s="12">
        <v>14</v>
      </c>
      <c r="C16" s="12"/>
      <c r="D16" s="12"/>
      <c r="E16" s="1">
        <f>SUM(F16:AI16)</f>
        <v>0</v>
      </c>
      <c r="F16" s="1">
        <f>SUMIF('Rennen 1'!$D$3:$D$26,Teamauswertung!$C16,'Rennen 1'!$I$3:$I$26)</f>
        <v>0</v>
      </c>
      <c r="G16" s="1">
        <f>SUMIF('Rennen 2'!$D$3:$D$26,Teamauswertung!$C16,'Rennen 2'!$I$3:$I$26)</f>
        <v>0</v>
      </c>
      <c r="H16" s="1">
        <f>SUMIF('Rennen 3'!$D$3:$D$26,Teamauswertung!$C16,'Rennen 3'!$I$3:$I$26)</f>
        <v>0</v>
      </c>
      <c r="I16" s="1">
        <f>SUMIF('Rennen 4'!$D$3:$D$26,Teamauswertung!$C16,'Rennen 4'!$I$3:$I$26)</f>
        <v>0</v>
      </c>
      <c r="J16" s="1">
        <f>SUMIF('Rennen 5'!$D$3:$D$26,Teamauswertung!$C16,'Rennen 5'!$I$3:$I$26)</f>
        <v>0</v>
      </c>
      <c r="K16" s="1">
        <f>SUMIF('Rennen 6'!$D$3:$D$26,Teamauswertung!$C16,'Rennen 6'!$I$3:$I$26)</f>
        <v>0</v>
      </c>
      <c r="L16" s="1">
        <f>SUMIF('Rennen 7'!$D$3:$D$26,Teamauswertung!$C16,'Rennen 7'!$I$3:$I$26)</f>
        <v>0</v>
      </c>
      <c r="M16" s="1">
        <f>SUMIF('Rennen 8'!$D$3:$D$26,Teamauswertung!$C16,'Rennen 8'!$I$3:$I$26)</f>
        <v>0</v>
      </c>
      <c r="N16" s="1">
        <f>SUMIF('Rennen 9'!$D$3:$D$26,Teamauswertung!$C16,'Rennen 9'!$I$3:$I$26)</f>
        <v>0</v>
      </c>
      <c r="O16" s="1">
        <f>SUMIF('Rennen 10'!$D$3:$D$26,Teamauswertung!$C16,'Rennen 10'!$I$3:$I$26)</f>
        <v>0</v>
      </c>
      <c r="P16" s="1">
        <f>SUMIF('Rennen 11'!$D$3:$D$26,Teamauswertung!$C16,'Rennen 11'!$I$3:$I$26)</f>
        <v>0</v>
      </c>
      <c r="Q16" s="1">
        <f>SUMIF('Rennen 12'!$D$3:$D$26,Teamauswertung!$C16,'Rennen 12'!$I$3:$I$26)</f>
        <v>0</v>
      </c>
      <c r="R16" s="1">
        <f>SUMIF('Rennen 13'!$D$3:$D$26,Teamauswertung!$C16,'Rennen 13'!$I$3:$I$26)</f>
        <v>0</v>
      </c>
      <c r="S16" s="1">
        <f>SUMIF('Rennen 14'!$D$3:$D$26,Teamauswertung!$C16,'Rennen 14'!$I$3:$I$26)</f>
        <v>0</v>
      </c>
      <c r="T16" s="1">
        <f>SUMIF('Rennen 15'!$D$3:$D$26,Teamauswertung!$C16,'Rennen 15'!$I$3:$I$26)</f>
        <v>0</v>
      </c>
      <c r="U16" s="1">
        <f>SUMIF('Rennen 16'!$D$3:$D$26,Teamauswertung!$C16,'Rennen 16'!$I$3:$I$26)</f>
        <v>0</v>
      </c>
      <c r="V16" s="1">
        <f>SUMIF('Rennen 17'!$D$3:$D$26,Teamauswertung!$C16,'Rennen 17'!$I$3:$I$26)</f>
        <v>0</v>
      </c>
      <c r="W16" s="1">
        <f>SUMIF('Rennen 18'!$D$3:$D$26,Teamauswertung!$C16,'Rennen 18'!$I$3:$I$26)</f>
        <v>0</v>
      </c>
      <c r="X16" s="1">
        <f>SUMIF('Rennen 19'!$D$3:$D$26,Teamauswertung!$C16,'Rennen 19'!$I$3:$I$26)</f>
        <v>0</v>
      </c>
      <c r="Y16" s="1">
        <f>SUMIF('Rennen 20'!$D$3:$D$26,Teamauswertung!$C16,'Rennen 20'!$I$3:$I$26)</f>
        <v>0</v>
      </c>
      <c r="Z16" s="1">
        <f>SUMIF('Rennen 21'!$D$3:$D$26,Teamauswertung!$C16,'Rennen 21'!$I$3:$I$26)</f>
        <v>0</v>
      </c>
      <c r="AA16" s="1">
        <f>SUMIF('Rennen 22'!$D$3:$D$26,Teamauswertung!$C16,'Rennen 22'!$I$3:$I$26)</f>
        <v>0</v>
      </c>
      <c r="AB16" s="1">
        <f>SUMIF('Rennen 23'!$D$3:$D$26,Teamauswertung!$C16,'Rennen 23'!$I$3:$I$26)</f>
        <v>0</v>
      </c>
      <c r="AC16" s="1">
        <f>SUMIF('Rennen 24'!$D$3:$D$26,Teamauswertung!$C16,'Rennen 24'!$I$3:$I$26)</f>
        <v>0</v>
      </c>
      <c r="AD16" s="1">
        <f>SUMIF('Rennen 25'!$D$3:$D$26,Teamauswertung!$C16,'Rennen 25'!$I$3:$I$26)</f>
        <v>0</v>
      </c>
      <c r="AE16" s="1">
        <f>SUMIF('Rennen 26'!$D$3:$D$26,Teamauswertung!$C16,'Rennen 26'!$I$3:$I$26)</f>
        <v>0</v>
      </c>
      <c r="AF16" s="1">
        <f>SUMIF('Rennen 27'!$D$3:$D$26,Teamauswertung!$C16,'Rennen 27'!$I$3:$I$26)</f>
        <v>0</v>
      </c>
      <c r="AG16" s="1">
        <f>SUMIF('Rennen 28'!$D$3:$D$26,Teamauswertung!$C16,'Rennen 28'!$I$3:$I$26)</f>
        <v>0</v>
      </c>
      <c r="AH16" s="1">
        <f>SUMIF('Rennen 29'!$D$3:$D$26,Teamauswertung!$C16,'Rennen 29'!$I$3:$I$26)</f>
        <v>0</v>
      </c>
      <c r="AI16" s="1">
        <f>SUMIF('Rennen 30'!$D$3:$D$26,Teamauswertung!$C16,'Rennen 30'!$I$3:$I$26)</f>
        <v>0</v>
      </c>
    </row>
    <row r="17" spans="2:35" x14ac:dyDescent="0.25">
      <c r="B17" s="12">
        <v>15</v>
      </c>
      <c r="C17" s="12"/>
      <c r="D17" s="12"/>
      <c r="E17" s="1">
        <f>SUM(F17:AI17)</f>
        <v>0</v>
      </c>
      <c r="F17" s="1">
        <f>SUMIF('Rennen 1'!$D$3:$D$26,Teamauswertung!$C17,'Rennen 1'!$I$3:$I$26)</f>
        <v>0</v>
      </c>
      <c r="G17" s="1">
        <f>SUMIF('Rennen 2'!$D$3:$D$26,Teamauswertung!$C17,'Rennen 2'!$I$3:$I$26)</f>
        <v>0</v>
      </c>
      <c r="H17" s="1">
        <f>SUMIF('Rennen 3'!$D$3:$D$26,Teamauswertung!$C17,'Rennen 3'!$I$3:$I$26)</f>
        <v>0</v>
      </c>
      <c r="I17" s="1">
        <f>SUMIF('Rennen 4'!$D$3:$D$26,Teamauswertung!$C17,'Rennen 4'!$I$3:$I$26)</f>
        <v>0</v>
      </c>
      <c r="J17" s="1">
        <f>SUMIF('Rennen 5'!$D$3:$D$26,Teamauswertung!$C17,'Rennen 5'!$I$3:$I$26)</f>
        <v>0</v>
      </c>
      <c r="K17" s="1">
        <f>SUMIF('Rennen 6'!$D$3:$D$26,Teamauswertung!$C17,'Rennen 6'!$I$3:$I$26)</f>
        <v>0</v>
      </c>
      <c r="L17" s="1">
        <f>SUMIF('Rennen 7'!$D$3:$D$26,Teamauswertung!$C17,'Rennen 7'!$I$3:$I$26)</f>
        <v>0</v>
      </c>
      <c r="M17" s="1">
        <f>SUMIF('Rennen 8'!$D$3:$D$26,Teamauswertung!$C17,'Rennen 8'!$I$3:$I$26)</f>
        <v>0</v>
      </c>
      <c r="N17" s="1">
        <f>SUMIF('Rennen 9'!$D$3:$D$26,Teamauswertung!$C17,'Rennen 9'!$I$3:$I$26)</f>
        <v>0</v>
      </c>
      <c r="O17" s="1">
        <f>SUMIF('Rennen 10'!$D$3:$D$26,Teamauswertung!$C17,'Rennen 10'!$I$3:$I$26)</f>
        <v>0</v>
      </c>
      <c r="P17" s="1">
        <f>SUMIF('Rennen 11'!$D$3:$D$26,Teamauswertung!$C17,'Rennen 11'!$I$3:$I$26)</f>
        <v>0</v>
      </c>
      <c r="Q17" s="1">
        <f>SUMIF('Rennen 12'!$D$3:$D$26,Teamauswertung!$C17,'Rennen 12'!$I$3:$I$26)</f>
        <v>0</v>
      </c>
      <c r="R17" s="1">
        <f>SUMIF('Rennen 13'!$D$3:$D$26,Teamauswertung!$C17,'Rennen 13'!$I$3:$I$26)</f>
        <v>0</v>
      </c>
      <c r="S17" s="1">
        <f>SUMIF('Rennen 14'!$D$3:$D$26,Teamauswertung!$C17,'Rennen 14'!$I$3:$I$26)</f>
        <v>0</v>
      </c>
      <c r="T17" s="1">
        <f>SUMIF('Rennen 15'!$D$3:$D$26,Teamauswertung!$C17,'Rennen 15'!$I$3:$I$26)</f>
        <v>0</v>
      </c>
      <c r="U17" s="1">
        <f>SUMIF('Rennen 16'!$D$3:$D$26,Teamauswertung!$C17,'Rennen 16'!$I$3:$I$26)</f>
        <v>0</v>
      </c>
      <c r="V17" s="1">
        <f>SUMIF('Rennen 17'!$D$3:$D$26,Teamauswertung!$C17,'Rennen 17'!$I$3:$I$26)</f>
        <v>0</v>
      </c>
      <c r="W17" s="1">
        <f>SUMIF('Rennen 18'!$D$3:$D$26,Teamauswertung!$C17,'Rennen 18'!$I$3:$I$26)</f>
        <v>0</v>
      </c>
      <c r="X17" s="1">
        <f>SUMIF('Rennen 19'!$D$3:$D$26,Teamauswertung!$C17,'Rennen 19'!$I$3:$I$26)</f>
        <v>0</v>
      </c>
      <c r="Y17" s="1">
        <f>SUMIF('Rennen 20'!$D$3:$D$26,Teamauswertung!$C17,'Rennen 20'!$I$3:$I$26)</f>
        <v>0</v>
      </c>
      <c r="Z17" s="1">
        <f>SUMIF('Rennen 21'!$D$3:$D$26,Teamauswertung!$C17,'Rennen 21'!$I$3:$I$26)</f>
        <v>0</v>
      </c>
      <c r="AA17" s="1">
        <f>SUMIF('Rennen 22'!$D$3:$D$26,Teamauswertung!$C17,'Rennen 22'!$I$3:$I$26)</f>
        <v>0</v>
      </c>
      <c r="AB17" s="1">
        <f>SUMIF('Rennen 23'!$D$3:$D$26,Teamauswertung!$C17,'Rennen 23'!$I$3:$I$26)</f>
        <v>0</v>
      </c>
      <c r="AC17" s="1">
        <f>SUMIF('Rennen 24'!$D$3:$D$26,Teamauswertung!$C17,'Rennen 24'!$I$3:$I$26)</f>
        <v>0</v>
      </c>
      <c r="AD17" s="1">
        <f>SUMIF('Rennen 25'!$D$3:$D$26,Teamauswertung!$C17,'Rennen 25'!$I$3:$I$26)</f>
        <v>0</v>
      </c>
      <c r="AE17" s="1">
        <f>SUMIF('Rennen 26'!$D$3:$D$26,Teamauswertung!$C17,'Rennen 26'!$I$3:$I$26)</f>
        <v>0</v>
      </c>
      <c r="AF17" s="1">
        <f>SUMIF('Rennen 27'!$D$3:$D$26,Teamauswertung!$C17,'Rennen 27'!$I$3:$I$26)</f>
        <v>0</v>
      </c>
      <c r="AG17" s="1">
        <f>SUMIF('Rennen 28'!$D$3:$D$26,Teamauswertung!$C17,'Rennen 28'!$I$3:$I$26)</f>
        <v>0</v>
      </c>
      <c r="AH17" s="1">
        <f>SUMIF('Rennen 29'!$D$3:$D$26,Teamauswertung!$C17,'Rennen 29'!$I$3:$I$26)</f>
        <v>0</v>
      </c>
      <c r="AI17" s="1">
        <f>SUMIF('Rennen 30'!$D$3:$D$26,Teamauswertung!$C17,'Rennen 30'!$I$3:$I$26)</f>
        <v>0</v>
      </c>
    </row>
    <row r="18" spans="2:35" x14ac:dyDescent="0.25">
      <c r="B18" s="12">
        <v>16</v>
      </c>
      <c r="C18" s="12"/>
      <c r="D18" s="12"/>
      <c r="E18" s="1">
        <f>SUM(F18:AI18)</f>
        <v>0</v>
      </c>
      <c r="F18" s="1">
        <f>SUMIF('Rennen 1'!$D$3:$D$26,Teamauswertung!$C18,'Rennen 1'!$I$3:$I$26)</f>
        <v>0</v>
      </c>
      <c r="G18" s="1">
        <f>SUMIF('Rennen 2'!$D$3:$D$26,Teamauswertung!$C18,'Rennen 2'!$I$3:$I$26)</f>
        <v>0</v>
      </c>
      <c r="H18" s="1">
        <f>SUMIF('Rennen 3'!$D$3:$D$26,Teamauswertung!$C18,'Rennen 3'!$I$3:$I$26)</f>
        <v>0</v>
      </c>
      <c r="I18" s="1">
        <f>SUMIF('Rennen 4'!$D$3:$D$26,Teamauswertung!$C18,'Rennen 4'!$I$3:$I$26)</f>
        <v>0</v>
      </c>
      <c r="J18" s="1">
        <f>SUMIF('Rennen 5'!$D$3:$D$26,Teamauswertung!$C18,'Rennen 5'!$I$3:$I$26)</f>
        <v>0</v>
      </c>
      <c r="K18" s="1">
        <f>SUMIF('Rennen 6'!$D$3:$D$26,Teamauswertung!$C18,'Rennen 6'!$I$3:$I$26)</f>
        <v>0</v>
      </c>
      <c r="L18" s="1">
        <f>SUMIF('Rennen 7'!$D$3:$D$26,Teamauswertung!$C18,'Rennen 7'!$I$3:$I$26)</f>
        <v>0</v>
      </c>
      <c r="M18" s="1">
        <f>SUMIF('Rennen 8'!$D$3:$D$26,Teamauswertung!$C18,'Rennen 8'!$I$3:$I$26)</f>
        <v>0</v>
      </c>
      <c r="N18" s="1">
        <f>SUMIF('Rennen 9'!$D$3:$D$26,Teamauswertung!$C18,'Rennen 9'!$I$3:$I$26)</f>
        <v>0</v>
      </c>
      <c r="O18" s="1">
        <f>SUMIF('Rennen 10'!$D$3:$D$26,Teamauswertung!$C18,'Rennen 10'!$I$3:$I$26)</f>
        <v>0</v>
      </c>
      <c r="P18" s="1">
        <f>SUMIF('Rennen 11'!$D$3:$D$26,Teamauswertung!$C18,'Rennen 11'!$I$3:$I$26)</f>
        <v>0</v>
      </c>
      <c r="Q18" s="1">
        <f>SUMIF('Rennen 12'!$D$3:$D$26,Teamauswertung!$C18,'Rennen 12'!$I$3:$I$26)</f>
        <v>0</v>
      </c>
      <c r="R18" s="1">
        <f>SUMIF('Rennen 13'!$D$3:$D$26,Teamauswertung!$C18,'Rennen 13'!$I$3:$I$26)</f>
        <v>0</v>
      </c>
      <c r="S18" s="1">
        <f>SUMIF('Rennen 14'!$D$3:$D$26,Teamauswertung!$C18,'Rennen 14'!$I$3:$I$26)</f>
        <v>0</v>
      </c>
      <c r="T18" s="1">
        <f>SUMIF('Rennen 15'!$D$3:$D$26,Teamauswertung!$C18,'Rennen 15'!$I$3:$I$26)</f>
        <v>0</v>
      </c>
      <c r="U18" s="1">
        <f>SUMIF('Rennen 16'!$D$3:$D$26,Teamauswertung!$C18,'Rennen 16'!$I$3:$I$26)</f>
        <v>0</v>
      </c>
      <c r="V18" s="1">
        <f>SUMIF('Rennen 17'!$D$3:$D$26,Teamauswertung!$C18,'Rennen 17'!$I$3:$I$26)</f>
        <v>0</v>
      </c>
      <c r="W18" s="1">
        <f>SUMIF('Rennen 18'!$D$3:$D$26,Teamauswertung!$C18,'Rennen 18'!$I$3:$I$26)</f>
        <v>0</v>
      </c>
      <c r="X18" s="1">
        <f>SUMIF('Rennen 19'!$D$3:$D$26,Teamauswertung!$C18,'Rennen 19'!$I$3:$I$26)</f>
        <v>0</v>
      </c>
      <c r="Y18" s="1">
        <f>SUMIF('Rennen 20'!$D$3:$D$26,Teamauswertung!$C18,'Rennen 20'!$I$3:$I$26)</f>
        <v>0</v>
      </c>
      <c r="Z18" s="1">
        <f>SUMIF('Rennen 21'!$D$3:$D$26,Teamauswertung!$C18,'Rennen 21'!$I$3:$I$26)</f>
        <v>0</v>
      </c>
      <c r="AA18" s="1">
        <f>SUMIF('Rennen 22'!$D$3:$D$26,Teamauswertung!$C18,'Rennen 22'!$I$3:$I$26)</f>
        <v>0</v>
      </c>
      <c r="AB18" s="1">
        <f>SUMIF('Rennen 23'!$D$3:$D$26,Teamauswertung!$C18,'Rennen 23'!$I$3:$I$26)</f>
        <v>0</v>
      </c>
      <c r="AC18" s="1">
        <f>SUMIF('Rennen 24'!$D$3:$D$26,Teamauswertung!$C18,'Rennen 24'!$I$3:$I$26)</f>
        <v>0</v>
      </c>
      <c r="AD18" s="1">
        <f>SUMIF('Rennen 25'!$D$3:$D$26,Teamauswertung!$C18,'Rennen 25'!$I$3:$I$26)</f>
        <v>0</v>
      </c>
      <c r="AE18" s="1">
        <f>SUMIF('Rennen 26'!$D$3:$D$26,Teamauswertung!$C18,'Rennen 26'!$I$3:$I$26)</f>
        <v>0</v>
      </c>
      <c r="AF18" s="1">
        <f>SUMIF('Rennen 27'!$D$3:$D$26,Teamauswertung!$C18,'Rennen 27'!$I$3:$I$26)</f>
        <v>0</v>
      </c>
      <c r="AG18" s="1">
        <f>SUMIF('Rennen 28'!$D$3:$D$26,Teamauswertung!$C18,'Rennen 28'!$I$3:$I$26)</f>
        <v>0</v>
      </c>
      <c r="AH18" s="1">
        <f>SUMIF('Rennen 29'!$D$3:$D$26,Teamauswertung!$C18,'Rennen 29'!$I$3:$I$26)</f>
        <v>0</v>
      </c>
      <c r="AI18" s="1">
        <f>SUMIF('Rennen 30'!$D$3:$D$26,Teamauswertung!$C18,'Rennen 30'!$I$3:$I$26)</f>
        <v>0</v>
      </c>
    </row>
    <row r="19" spans="2:35" x14ac:dyDescent="0.25">
      <c r="B19" s="12">
        <v>17</v>
      </c>
      <c r="C19" s="12"/>
      <c r="D19" s="12"/>
      <c r="E19" s="1">
        <f>SUM(F19:AI19)</f>
        <v>0</v>
      </c>
      <c r="F19" s="1">
        <f>SUMIF('Rennen 1'!$D$3:$D$26,Teamauswertung!$C19,'Rennen 1'!$I$3:$I$26)</f>
        <v>0</v>
      </c>
      <c r="G19" s="1">
        <f>SUMIF('Rennen 2'!$D$3:$D$26,Teamauswertung!$C19,'Rennen 2'!$I$3:$I$26)</f>
        <v>0</v>
      </c>
      <c r="H19" s="1">
        <f>SUMIF('Rennen 3'!$D$3:$D$26,Teamauswertung!$C19,'Rennen 3'!$I$3:$I$26)</f>
        <v>0</v>
      </c>
      <c r="I19" s="1">
        <f>SUMIF('Rennen 4'!$D$3:$D$26,Teamauswertung!$C19,'Rennen 4'!$I$3:$I$26)</f>
        <v>0</v>
      </c>
      <c r="J19" s="1">
        <f>SUMIF('Rennen 5'!$D$3:$D$26,Teamauswertung!$C19,'Rennen 5'!$I$3:$I$26)</f>
        <v>0</v>
      </c>
      <c r="K19" s="1">
        <f>SUMIF('Rennen 6'!$D$3:$D$26,Teamauswertung!$C19,'Rennen 6'!$I$3:$I$26)</f>
        <v>0</v>
      </c>
      <c r="L19" s="1">
        <f>SUMIF('Rennen 7'!$D$3:$D$26,Teamauswertung!$C19,'Rennen 7'!$I$3:$I$26)</f>
        <v>0</v>
      </c>
      <c r="M19" s="1">
        <f>SUMIF('Rennen 8'!$D$3:$D$26,Teamauswertung!$C19,'Rennen 8'!$I$3:$I$26)</f>
        <v>0</v>
      </c>
      <c r="N19" s="1">
        <f>SUMIF('Rennen 9'!$D$3:$D$26,Teamauswertung!$C19,'Rennen 9'!$I$3:$I$26)</f>
        <v>0</v>
      </c>
      <c r="O19" s="1">
        <f>SUMIF('Rennen 10'!$D$3:$D$26,Teamauswertung!$C19,'Rennen 10'!$I$3:$I$26)</f>
        <v>0</v>
      </c>
      <c r="P19" s="1">
        <f>SUMIF('Rennen 11'!$D$3:$D$26,Teamauswertung!$C19,'Rennen 11'!$I$3:$I$26)</f>
        <v>0</v>
      </c>
      <c r="Q19" s="1">
        <f>SUMIF('Rennen 12'!$D$3:$D$26,Teamauswertung!$C19,'Rennen 12'!$I$3:$I$26)</f>
        <v>0</v>
      </c>
      <c r="R19" s="1">
        <f>SUMIF('Rennen 13'!$D$3:$D$26,Teamauswertung!$C19,'Rennen 13'!$I$3:$I$26)</f>
        <v>0</v>
      </c>
      <c r="S19" s="1">
        <f>SUMIF('Rennen 14'!$D$3:$D$26,Teamauswertung!$C19,'Rennen 14'!$I$3:$I$26)</f>
        <v>0</v>
      </c>
      <c r="T19" s="1">
        <f>SUMIF('Rennen 15'!$D$3:$D$26,Teamauswertung!$C19,'Rennen 15'!$I$3:$I$26)</f>
        <v>0</v>
      </c>
      <c r="U19" s="1">
        <f>SUMIF('Rennen 16'!$D$3:$D$26,Teamauswertung!$C19,'Rennen 16'!$I$3:$I$26)</f>
        <v>0</v>
      </c>
      <c r="V19" s="1">
        <f>SUMIF('Rennen 17'!$D$3:$D$26,Teamauswertung!$C19,'Rennen 17'!$I$3:$I$26)</f>
        <v>0</v>
      </c>
      <c r="W19" s="1">
        <f>SUMIF('Rennen 18'!$D$3:$D$26,Teamauswertung!$C19,'Rennen 18'!$I$3:$I$26)</f>
        <v>0</v>
      </c>
      <c r="X19" s="1">
        <f>SUMIF('Rennen 19'!$D$3:$D$26,Teamauswertung!$C19,'Rennen 19'!$I$3:$I$26)</f>
        <v>0</v>
      </c>
      <c r="Y19" s="1">
        <f>SUMIF('Rennen 20'!$D$3:$D$26,Teamauswertung!$C19,'Rennen 20'!$I$3:$I$26)</f>
        <v>0</v>
      </c>
      <c r="Z19" s="1">
        <f>SUMIF('Rennen 21'!$D$3:$D$26,Teamauswertung!$C19,'Rennen 21'!$I$3:$I$26)</f>
        <v>0</v>
      </c>
      <c r="AA19" s="1">
        <f>SUMIF('Rennen 22'!$D$3:$D$26,Teamauswertung!$C19,'Rennen 22'!$I$3:$I$26)</f>
        <v>0</v>
      </c>
      <c r="AB19" s="1">
        <f>SUMIF('Rennen 23'!$D$3:$D$26,Teamauswertung!$C19,'Rennen 23'!$I$3:$I$26)</f>
        <v>0</v>
      </c>
      <c r="AC19" s="1">
        <f>SUMIF('Rennen 24'!$D$3:$D$26,Teamauswertung!$C19,'Rennen 24'!$I$3:$I$26)</f>
        <v>0</v>
      </c>
      <c r="AD19" s="1">
        <f>SUMIF('Rennen 25'!$D$3:$D$26,Teamauswertung!$C19,'Rennen 25'!$I$3:$I$26)</f>
        <v>0</v>
      </c>
      <c r="AE19" s="1">
        <f>SUMIF('Rennen 26'!$D$3:$D$26,Teamauswertung!$C19,'Rennen 26'!$I$3:$I$26)</f>
        <v>0</v>
      </c>
      <c r="AF19" s="1">
        <f>SUMIF('Rennen 27'!$D$3:$D$26,Teamauswertung!$C19,'Rennen 27'!$I$3:$I$26)</f>
        <v>0</v>
      </c>
      <c r="AG19" s="1">
        <f>SUMIF('Rennen 28'!$D$3:$D$26,Teamauswertung!$C19,'Rennen 28'!$I$3:$I$26)</f>
        <v>0</v>
      </c>
      <c r="AH19" s="1">
        <f>SUMIF('Rennen 29'!$D$3:$D$26,Teamauswertung!$C19,'Rennen 29'!$I$3:$I$26)</f>
        <v>0</v>
      </c>
      <c r="AI19" s="1">
        <f>SUMIF('Rennen 30'!$D$3:$D$26,Teamauswertung!$C19,'Rennen 30'!$I$3:$I$26)</f>
        <v>0</v>
      </c>
    </row>
    <row r="20" spans="2:35" x14ac:dyDescent="0.25">
      <c r="B20" s="12">
        <v>18</v>
      </c>
      <c r="C20" s="12"/>
      <c r="D20" s="12"/>
      <c r="E20" s="1">
        <f>SUM(F20:AI20)</f>
        <v>0</v>
      </c>
      <c r="F20" s="1">
        <f>SUMIF('Rennen 1'!$D$3:$D$26,Teamauswertung!$C20,'Rennen 1'!$I$3:$I$26)</f>
        <v>0</v>
      </c>
      <c r="G20" s="1">
        <f>SUMIF('Rennen 2'!$D$3:$D$26,Teamauswertung!$C20,'Rennen 2'!$I$3:$I$26)</f>
        <v>0</v>
      </c>
      <c r="H20" s="1">
        <f>SUMIF('Rennen 3'!$D$3:$D$26,Teamauswertung!$C20,'Rennen 3'!$I$3:$I$26)</f>
        <v>0</v>
      </c>
      <c r="I20" s="1">
        <f>SUMIF('Rennen 4'!$D$3:$D$26,Teamauswertung!$C20,'Rennen 4'!$I$3:$I$26)</f>
        <v>0</v>
      </c>
      <c r="J20" s="1">
        <f>SUMIF('Rennen 5'!$D$3:$D$26,Teamauswertung!$C20,'Rennen 5'!$I$3:$I$26)</f>
        <v>0</v>
      </c>
      <c r="K20" s="1">
        <f>SUMIF('Rennen 6'!$D$3:$D$26,Teamauswertung!$C20,'Rennen 6'!$I$3:$I$26)</f>
        <v>0</v>
      </c>
      <c r="L20" s="1">
        <f>SUMIF('Rennen 7'!$D$3:$D$26,Teamauswertung!$C20,'Rennen 7'!$I$3:$I$26)</f>
        <v>0</v>
      </c>
      <c r="M20" s="1">
        <f>SUMIF('Rennen 8'!$D$3:$D$26,Teamauswertung!$C20,'Rennen 8'!$I$3:$I$26)</f>
        <v>0</v>
      </c>
      <c r="N20" s="1">
        <f>SUMIF('Rennen 9'!$D$3:$D$26,Teamauswertung!$C20,'Rennen 9'!$I$3:$I$26)</f>
        <v>0</v>
      </c>
      <c r="O20" s="1">
        <f>SUMIF('Rennen 10'!$D$3:$D$26,Teamauswertung!$C20,'Rennen 10'!$I$3:$I$26)</f>
        <v>0</v>
      </c>
      <c r="P20" s="1">
        <f>SUMIF('Rennen 11'!$D$3:$D$26,Teamauswertung!$C20,'Rennen 11'!$I$3:$I$26)</f>
        <v>0</v>
      </c>
      <c r="Q20" s="1">
        <f>SUMIF('Rennen 12'!$D$3:$D$26,Teamauswertung!$C20,'Rennen 12'!$I$3:$I$26)</f>
        <v>0</v>
      </c>
      <c r="R20" s="1">
        <f>SUMIF('Rennen 13'!$D$3:$D$26,Teamauswertung!$C20,'Rennen 13'!$I$3:$I$26)</f>
        <v>0</v>
      </c>
      <c r="S20" s="1">
        <f>SUMIF('Rennen 14'!$D$3:$D$26,Teamauswertung!$C20,'Rennen 14'!$I$3:$I$26)</f>
        <v>0</v>
      </c>
      <c r="T20" s="1">
        <f>SUMIF('Rennen 15'!$D$3:$D$26,Teamauswertung!$C20,'Rennen 15'!$I$3:$I$26)</f>
        <v>0</v>
      </c>
      <c r="U20" s="1">
        <f>SUMIF('Rennen 16'!$D$3:$D$26,Teamauswertung!$C20,'Rennen 16'!$I$3:$I$26)</f>
        <v>0</v>
      </c>
      <c r="V20" s="1">
        <f>SUMIF('Rennen 17'!$D$3:$D$26,Teamauswertung!$C20,'Rennen 17'!$I$3:$I$26)</f>
        <v>0</v>
      </c>
      <c r="W20" s="1">
        <f>SUMIF('Rennen 18'!$D$3:$D$26,Teamauswertung!$C20,'Rennen 18'!$I$3:$I$26)</f>
        <v>0</v>
      </c>
      <c r="X20" s="1">
        <f>SUMIF('Rennen 19'!$D$3:$D$26,Teamauswertung!$C20,'Rennen 19'!$I$3:$I$26)</f>
        <v>0</v>
      </c>
      <c r="Y20" s="1">
        <f>SUMIF('Rennen 20'!$D$3:$D$26,Teamauswertung!$C20,'Rennen 20'!$I$3:$I$26)</f>
        <v>0</v>
      </c>
      <c r="Z20" s="1">
        <f>SUMIF('Rennen 21'!$D$3:$D$26,Teamauswertung!$C20,'Rennen 21'!$I$3:$I$26)</f>
        <v>0</v>
      </c>
      <c r="AA20" s="1">
        <f>SUMIF('Rennen 22'!$D$3:$D$26,Teamauswertung!$C20,'Rennen 22'!$I$3:$I$26)</f>
        <v>0</v>
      </c>
      <c r="AB20" s="1">
        <f>SUMIF('Rennen 23'!$D$3:$D$26,Teamauswertung!$C20,'Rennen 23'!$I$3:$I$26)</f>
        <v>0</v>
      </c>
      <c r="AC20" s="1">
        <f>SUMIF('Rennen 24'!$D$3:$D$26,Teamauswertung!$C20,'Rennen 24'!$I$3:$I$26)</f>
        <v>0</v>
      </c>
      <c r="AD20" s="1">
        <f>SUMIF('Rennen 25'!$D$3:$D$26,Teamauswertung!$C20,'Rennen 25'!$I$3:$I$26)</f>
        <v>0</v>
      </c>
      <c r="AE20" s="1">
        <f>SUMIF('Rennen 26'!$D$3:$D$26,Teamauswertung!$C20,'Rennen 26'!$I$3:$I$26)</f>
        <v>0</v>
      </c>
      <c r="AF20" s="1">
        <f>SUMIF('Rennen 27'!$D$3:$D$26,Teamauswertung!$C20,'Rennen 27'!$I$3:$I$26)</f>
        <v>0</v>
      </c>
      <c r="AG20" s="1">
        <f>SUMIF('Rennen 28'!$D$3:$D$26,Teamauswertung!$C20,'Rennen 28'!$I$3:$I$26)</f>
        <v>0</v>
      </c>
      <c r="AH20" s="1">
        <f>SUMIF('Rennen 29'!$D$3:$D$26,Teamauswertung!$C20,'Rennen 29'!$I$3:$I$26)</f>
        <v>0</v>
      </c>
      <c r="AI20" s="1">
        <f>SUMIF('Rennen 30'!$D$3:$D$26,Teamauswertung!$C20,'Rennen 30'!$I$3:$I$26)</f>
        <v>0</v>
      </c>
    </row>
    <row r="21" spans="2:35" x14ac:dyDescent="0.25">
      <c r="B21" s="12">
        <v>19</v>
      </c>
      <c r="C21" s="12"/>
      <c r="D21" s="12"/>
      <c r="E21" s="1">
        <f>SUM(F21:AI21)</f>
        <v>0</v>
      </c>
      <c r="F21" s="1">
        <f>SUMIF('Rennen 1'!$D$3:$D$26,Teamauswertung!$C21,'Rennen 1'!$I$3:$I$26)</f>
        <v>0</v>
      </c>
      <c r="G21" s="1">
        <f>SUMIF('Rennen 2'!$D$3:$D$26,Teamauswertung!$C21,'Rennen 2'!$I$3:$I$26)</f>
        <v>0</v>
      </c>
      <c r="H21" s="1">
        <f>SUMIF('Rennen 3'!$D$3:$D$26,Teamauswertung!$C21,'Rennen 3'!$I$3:$I$26)</f>
        <v>0</v>
      </c>
      <c r="I21" s="1">
        <f>SUMIF('Rennen 4'!$D$3:$D$26,Teamauswertung!$C21,'Rennen 4'!$I$3:$I$26)</f>
        <v>0</v>
      </c>
      <c r="J21" s="1">
        <f>SUMIF('Rennen 5'!$D$3:$D$26,Teamauswertung!$C21,'Rennen 5'!$I$3:$I$26)</f>
        <v>0</v>
      </c>
      <c r="K21" s="1">
        <f>SUMIF('Rennen 6'!$D$3:$D$26,Teamauswertung!$C21,'Rennen 6'!$I$3:$I$26)</f>
        <v>0</v>
      </c>
      <c r="L21" s="1">
        <f>SUMIF('Rennen 7'!$D$3:$D$26,Teamauswertung!$C21,'Rennen 7'!$I$3:$I$26)</f>
        <v>0</v>
      </c>
      <c r="M21" s="1">
        <f>SUMIF('Rennen 8'!$D$3:$D$26,Teamauswertung!$C21,'Rennen 8'!$I$3:$I$26)</f>
        <v>0</v>
      </c>
      <c r="N21" s="1">
        <f>SUMIF('Rennen 9'!$D$3:$D$26,Teamauswertung!$C21,'Rennen 9'!$I$3:$I$26)</f>
        <v>0</v>
      </c>
      <c r="O21" s="1">
        <f>SUMIF('Rennen 10'!$D$3:$D$26,Teamauswertung!$C21,'Rennen 10'!$I$3:$I$26)</f>
        <v>0</v>
      </c>
      <c r="P21" s="1">
        <f>SUMIF('Rennen 11'!$D$3:$D$26,Teamauswertung!$C21,'Rennen 11'!$I$3:$I$26)</f>
        <v>0</v>
      </c>
      <c r="Q21" s="1">
        <f>SUMIF('Rennen 12'!$D$3:$D$26,Teamauswertung!$C21,'Rennen 12'!$I$3:$I$26)</f>
        <v>0</v>
      </c>
      <c r="R21" s="1">
        <f>SUMIF('Rennen 13'!$D$3:$D$26,Teamauswertung!$C21,'Rennen 13'!$I$3:$I$26)</f>
        <v>0</v>
      </c>
      <c r="S21" s="1">
        <f>SUMIF('Rennen 14'!$D$3:$D$26,Teamauswertung!$C21,'Rennen 14'!$I$3:$I$26)</f>
        <v>0</v>
      </c>
      <c r="T21" s="1">
        <f>SUMIF('Rennen 15'!$D$3:$D$26,Teamauswertung!$C21,'Rennen 15'!$I$3:$I$26)</f>
        <v>0</v>
      </c>
      <c r="U21" s="1">
        <f>SUMIF('Rennen 16'!$D$3:$D$26,Teamauswertung!$C21,'Rennen 16'!$I$3:$I$26)</f>
        <v>0</v>
      </c>
      <c r="V21" s="1">
        <f>SUMIF('Rennen 17'!$D$3:$D$26,Teamauswertung!$C21,'Rennen 17'!$I$3:$I$26)</f>
        <v>0</v>
      </c>
      <c r="W21" s="1">
        <f>SUMIF('Rennen 18'!$D$3:$D$26,Teamauswertung!$C21,'Rennen 18'!$I$3:$I$26)</f>
        <v>0</v>
      </c>
      <c r="X21" s="1">
        <f>SUMIF('Rennen 19'!$D$3:$D$26,Teamauswertung!$C21,'Rennen 19'!$I$3:$I$26)</f>
        <v>0</v>
      </c>
      <c r="Y21" s="1">
        <f>SUMIF('Rennen 20'!$D$3:$D$26,Teamauswertung!$C21,'Rennen 20'!$I$3:$I$26)</f>
        <v>0</v>
      </c>
      <c r="Z21" s="1">
        <f>SUMIF('Rennen 21'!$D$3:$D$26,Teamauswertung!$C21,'Rennen 21'!$I$3:$I$26)</f>
        <v>0</v>
      </c>
      <c r="AA21" s="1">
        <f>SUMIF('Rennen 22'!$D$3:$D$26,Teamauswertung!$C21,'Rennen 22'!$I$3:$I$26)</f>
        <v>0</v>
      </c>
      <c r="AB21" s="1">
        <f>SUMIF('Rennen 23'!$D$3:$D$26,Teamauswertung!$C21,'Rennen 23'!$I$3:$I$26)</f>
        <v>0</v>
      </c>
      <c r="AC21" s="1">
        <f>SUMIF('Rennen 24'!$D$3:$D$26,Teamauswertung!$C21,'Rennen 24'!$I$3:$I$26)</f>
        <v>0</v>
      </c>
      <c r="AD21" s="1">
        <f>SUMIF('Rennen 25'!$D$3:$D$26,Teamauswertung!$C21,'Rennen 25'!$I$3:$I$26)</f>
        <v>0</v>
      </c>
      <c r="AE21" s="1">
        <f>SUMIF('Rennen 26'!$D$3:$D$26,Teamauswertung!$C21,'Rennen 26'!$I$3:$I$26)</f>
        <v>0</v>
      </c>
      <c r="AF21" s="1">
        <f>SUMIF('Rennen 27'!$D$3:$D$26,Teamauswertung!$C21,'Rennen 27'!$I$3:$I$26)</f>
        <v>0</v>
      </c>
      <c r="AG21" s="1">
        <f>SUMIF('Rennen 28'!$D$3:$D$26,Teamauswertung!$C21,'Rennen 28'!$I$3:$I$26)</f>
        <v>0</v>
      </c>
      <c r="AH21" s="1">
        <f>SUMIF('Rennen 29'!$D$3:$D$26,Teamauswertung!$C21,'Rennen 29'!$I$3:$I$26)</f>
        <v>0</v>
      </c>
      <c r="AI21" s="1">
        <f>SUMIF('Rennen 30'!$D$3:$D$26,Teamauswertung!$C21,'Rennen 30'!$I$3:$I$26)</f>
        <v>0</v>
      </c>
    </row>
    <row r="22" spans="2:35" x14ac:dyDescent="0.25">
      <c r="B22" s="12">
        <v>20</v>
      </c>
      <c r="C22" s="12"/>
      <c r="D22" s="12"/>
      <c r="E22" s="1">
        <f>SUM(F22:AI22)</f>
        <v>0</v>
      </c>
      <c r="F22" s="1">
        <f>SUMIF('Rennen 1'!$D$3:$D$26,Teamauswertung!$C22,'Rennen 1'!$I$3:$I$26)</f>
        <v>0</v>
      </c>
      <c r="G22" s="1">
        <f>SUMIF('Rennen 2'!$D$3:$D$26,Teamauswertung!$C22,'Rennen 2'!$I$3:$I$26)</f>
        <v>0</v>
      </c>
      <c r="H22" s="1">
        <f>SUMIF('Rennen 3'!$D$3:$D$26,Teamauswertung!$C22,'Rennen 3'!$I$3:$I$26)</f>
        <v>0</v>
      </c>
      <c r="I22" s="1">
        <f>SUMIF('Rennen 4'!$D$3:$D$26,Teamauswertung!$C22,'Rennen 4'!$I$3:$I$26)</f>
        <v>0</v>
      </c>
      <c r="J22" s="1">
        <f>SUMIF('Rennen 5'!$D$3:$D$26,Teamauswertung!$C22,'Rennen 5'!$I$3:$I$26)</f>
        <v>0</v>
      </c>
      <c r="K22" s="1">
        <f>SUMIF('Rennen 6'!$D$3:$D$26,Teamauswertung!$C22,'Rennen 6'!$I$3:$I$26)</f>
        <v>0</v>
      </c>
      <c r="L22" s="1">
        <f>SUMIF('Rennen 7'!$D$3:$D$26,Teamauswertung!$C22,'Rennen 7'!$I$3:$I$26)</f>
        <v>0</v>
      </c>
      <c r="M22" s="1">
        <f>SUMIF('Rennen 8'!$D$3:$D$26,Teamauswertung!$C22,'Rennen 8'!$I$3:$I$26)</f>
        <v>0</v>
      </c>
      <c r="N22" s="1">
        <f>SUMIF('Rennen 9'!$D$3:$D$26,Teamauswertung!$C22,'Rennen 9'!$I$3:$I$26)</f>
        <v>0</v>
      </c>
      <c r="O22" s="1">
        <f>SUMIF('Rennen 10'!$D$3:$D$26,Teamauswertung!$C22,'Rennen 10'!$I$3:$I$26)</f>
        <v>0</v>
      </c>
      <c r="P22" s="1">
        <f>SUMIF('Rennen 11'!$D$3:$D$26,Teamauswertung!$C22,'Rennen 11'!$I$3:$I$26)</f>
        <v>0</v>
      </c>
      <c r="Q22" s="1">
        <f>SUMIF('Rennen 12'!$D$3:$D$26,Teamauswertung!$C22,'Rennen 12'!$I$3:$I$26)</f>
        <v>0</v>
      </c>
      <c r="R22" s="1">
        <f>SUMIF('Rennen 13'!$D$3:$D$26,Teamauswertung!$C22,'Rennen 13'!$I$3:$I$26)</f>
        <v>0</v>
      </c>
      <c r="S22" s="1">
        <f>SUMIF('Rennen 14'!$D$3:$D$26,Teamauswertung!$C22,'Rennen 14'!$I$3:$I$26)</f>
        <v>0</v>
      </c>
      <c r="T22" s="1">
        <f>SUMIF('Rennen 15'!$D$3:$D$26,Teamauswertung!$C22,'Rennen 15'!$I$3:$I$26)</f>
        <v>0</v>
      </c>
      <c r="U22" s="1">
        <f>SUMIF('Rennen 16'!$D$3:$D$26,Teamauswertung!$C22,'Rennen 16'!$I$3:$I$26)</f>
        <v>0</v>
      </c>
      <c r="V22" s="1">
        <f>SUMIF('Rennen 17'!$D$3:$D$26,Teamauswertung!$C22,'Rennen 17'!$I$3:$I$26)</f>
        <v>0</v>
      </c>
      <c r="W22" s="1">
        <f>SUMIF('Rennen 18'!$D$3:$D$26,Teamauswertung!$C22,'Rennen 18'!$I$3:$I$26)</f>
        <v>0</v>
      </c>
      <c r="X22" s="1">
        <f>SUMIF('Rennen 19'!$D$3:$D$26,Teamauswertung!$C22,'Rennen 19'!$I$3:$I$26)</f>
        <v>0</v>
      </c>
      <c r="Y22" s="1">
        <f>SUMIF('Rennen 20'!$D$3:$D$26,Teamauswertung!$C22,'Rennen 20'!$I$3:$I$26)</f>
        <v>0</v>
      </c>
      <c r="Z22" s="1">
        <f>SUMIF('Rennen 21'!$D$3:$D$26,Teamauswertung!$C22,'Rennen 21'!$I$3:$I$26)</f>
        <v>0</v>
      </c>
      <c r="AA22" s="1">
        <f>SUMIF('Rennen 22'!$D$3:$D$26,Teamauswertung!$C22,'Rennen 22'!$I$3:$I$26)</f>
        <v>0</v>
      </c>
      <c r="AB22" s="1">
        <f>SUMIF('Rennen 23'!$D$3:$D$26,Teamauswertung!$C22,'Rennen 23'!$I$3:$I$26)</f>
        <v>0</v>
      </c>
      <c r="AC22" s="1">
        <f>SUMIF('Rennen 24'!$D$3:$D$26,Teamauswertung!$C22,'Rennen 24'!$I$3:$I$26)</f>
        <v>0</v>
      </c>
      <c r="AD22" s="1">
        <f>SUMIF('Rennen 25'!$D$3:$D$26,Teamauswertung!$C22,'Rennen 25'!$I$3:$I$26)</f>
        <v>0</v>
      </c>
      <c r="AE22" s="1">
        <f>SUMIF('Rennen 26'!$D$3:$D$26,Teamauswertung!$C22,'Rennen 26'!$I$3:$I$26)</f>
        <v>0</v>
      </c>
      <c r="AF22" s="1">
        <f>SUMIF('Rennen 27'!$D$3:$D$26,Teamauswertung!$C22,'Rennen 27'!$I$3:$I$26)</f>
        <v>0</v>
      </c>
      <c r="AG22" s="1">
        <f>SUMIF('Rennen 28'!$D$3:$D$26,Teamauswertung!$C22,'Rennen 28'!$I$3:$I$26)</f>
        <v>0</v>
      </c>
      <c r="AH22" s="1">
        <f>SUMIF('Rennen 29'!$D$3:$D$26,Teamauswertung!$C22,'Rennen 29'!$I$3:$I$26)</f>
        <v>0</v>
      </c>
      <c r="AI22" s="1">
        <f>SUMIF('Rennen 30'!$D$3:$D$26,Teamauswertung!$C22,'Rennen 30'!$I$3:$I$26)</f>
        <v>0</v>
      </c>
    </row>
    <row r="23" spans="2:35" x14ac:dyDescent="0.25">
      <c r="B23" s="12">
        <v>21</v>
      </c>
      <c r="C23" s="12"/>
      <c r="D23" s="12"/>
      <c r="E23" s="1">
        <f>SUM(F23:AI23)</f>
        <v>0</v>
      </c>
      <c r="F23" s="1">
        <f>SUMIF('Rennen 1'!$D$3:$D$26,Teamauswertung!$C23,'Rennen 1'!$I$3:$I$26)</f>
        <v>0</v>
      </c>
      <c r="G23" s="1">
        <f>SUMIF('Rennen 2'!$D$3:$D$26,Teamauswertung!$C23,'Rennen 2'!$I$3:$I$26)</f>
        <v>0</v>
      </c>
      <c r="H23" s="1">
        <f>SUMIF('Rennen 3'!$D$3:$D$26,Teamauswertung!$C23,'Rennen 3'!$I$3:$I$26)</f>
        <v>0</v>
      </c>
      <c r="I23" s="1">
        <f>SUMIF('Rennen 4'!$D$3:$D$26,Teamauswertung!$C23,'Rennen 4'!$I$3:$I$26)</f>
        <v>0</v>
      </c>
      <c r="J23" s="1">
        <f>SUMIF('Rennen 5'!$D$3:$D$26,Teamauswertung!$C23,'Rennen 5'!$I$3:$I$26)</f>
        <v>0</v>
      </c>
      <c r="K23" s="1">
        <f>SUMIF('Rennen 6'!$D$3:$D$26,Teamauswertung!$C23,'Rennen 6'!$I$3:$I$26)</f>
        <v>0</v>
      </c>
      <c r="L23" s="1">
        <f>SUMIF('Rennen 7'!$D$3:$D$26,Teamauswertung!$C23,'Rennen 7'!$I$3:$I$26)</f>
        <v>0</v>
      </c>
      <c r="M23" s="1">
        <f>SUMIF('Rennen 8'!$D$3:$D$26,Teamauswertung!$C23,'Rennen 8'!$I$3:$I$26)</f>
        <v>0</v>
      </c>
      <c r="N23" s="1">
        <f>SUMIF('Rennen 9'!$D$3:$D$26,Teamauswertung!$C23,'Rennen 9'!$I$3:$I$26)</f>
        <v>0</v>
      </c>
      <c r="O23" s="1">
        <f>SUMIF('Rennen 10'!$D$3:$D$26,Teamauswertung!$C23,'Rennen 10'!$I$3:$I$26)</f>
        <v>0</v>
      </c>
      <c r="P23" s="1">
        <f>SUMIF('Rennen 11'!$D$3:$D$26,Teamauswertung!$C23,'Rennen 11'!$I$3:$I$26)</f>
        <v>0</v>
      </c>
      <c r="Q23" s="1">
        <f>SUMIF('Rennen 12'!$D$3:$D$26,Teamauswertung!$C23,'Rennen 12'!$I$3:$I$26)</f>
        <v>0</v>
      </c>
      <c r="R23" s="1">
        <f>SUMIF('Rennen 13'!$D$3:$D$26,Teamauswertung!$C23,'Rennen 13'!$I$3:$I$26)</f>
        <v>0</v>
      </c>
      <c r="S23" s="1">
        <f>SUMIF('Rennen 14'!$D$3:$D$26,Teamauswertung!$C23,'Rennen 14'!$I$3:$I$26)</f>
        <v>0</v>
      </c>
      <c r="T23" s="1">
        <f>SUMIF('Rennen 15'!$D$3:$D$26,Teamauswertung!$C23,'Rennen 15'!$I$3:$I$26)</f>
        <v>0</v>
      </c>
      <c r="U23" s="1">
        <f>SUMIF('Rennen 16'!$D$3:$D$26,Teamauswertung!$C23,'Rennen 16'!$I$3:$I$26)</f>
        <v>0</v>
      </c>
      <c r="V23" s="1">
        <f>SUMIF('Rennen 17'!$D$3:$D$26,Teamauswertung!$C23,'Rennen 17'!$I$3:$I$26)</f>
        <v>0</v>
      </c>
      <c r="W23" s="1">
        <f>SUMIF('Rennen 18'!$D$3:$D$26,Teamauswertung!$C23,'Rennen 18'!$I$3:$I$26)</f>
        <v>0</v>
      </c>
      <c r="X23" s="1">
        <f>SUMIF('Rennen 19'!$D$3:$D$26,Teamauswertung!$C23,'Rennen 19'!$I$3:$I$26)</f>
        <v>0</v>
      </c>
      <c r="Y23" s="1">
        <f>SUMIF('Rennen 20'!$D$3:$D$26,Teamauswertung!$C23,'Rennen 20'!$I$3:$I$26)</f>
        <v>0</v>
      </c>
      <c r="Z23" s="1">
        <f>SUMIF('Rennen 21'!$D$3:$D$26,Teamauswertung!$C23,'Rennen 21'!$I$3:$I$26)</f>
        <v>0</v>
      </c>
      <c r="AA23" s="1">
        <f>SUMIF('Rennen 22'!$D$3:$D$26,Teamauswertung!$C23,'Rennen 22'!$I$3:$I$26)</f>
        <v>0</v>
      </c>
      <c r="AB23" s="1">
        <f>SUMIF('Rennen 23'!$D$3:$D$26,Teamauswertung!$C23,'Rennen 23'!$I$3:$I$26)</f>
        <v>0</v>
      </c>
      <c r="AC23" s="1">
        <f>SUMIF('Rennen 24'!$D$3:$D$26,Teamauswertung!$C23,'Rennen 24'!$I$3:$I$26)</f>
        <v>0</v>
      </c>
      <c r="AD23" s="1">
        <f>SUMIF('Rennen 25'!$D$3:$D$26,Teamauswertung!$C23,'Rennen 25'!$I$3:$I$26)</f>
        <v>0</v>
      </c>
      <c r="AE23" s="1">
        <f>SUMIF('Rennen 26'!$D$3:$D$26,Teamauswertung!$C23,'Rennen 26'!$I$3:$I$26)</f>
        <v>0</v>
      </c>
      <c r="AF23" s="1">
        <f>SUMIF('Rennen 27'!$D$3:$D$26,Teamauswertung!$C23,'Rennen 27'!$I$3:$I$26)</f>
        <v>0</v>
      </c>
      <c r="AG23" s="1">
        <f>SUMIF('Rennen 28'!$D$3:$D$26,Teamauswertung!$C23,'Rennen 28'!$I$3:$I$26)</f>
        <v>0</v>
      </c>
      <c r="AH23" s="1">
        <f>SUMIF('Rennen 29'!$D$3:$D$26,Teamauswertung!$C23,'Rennen 29'!$I$3:$I$26)</f>
        <v>0</v>
      </c>
      <c r="AI23" s="1">
        <f>SUMIF('Rennen 30'!$D$3:$D$26,Teamauswertung!$C23,'Rennen 30'!$I$3:$I$26)</f>
        <v>0</v>
      </c>
    </row>
    <row r="24" spans="2:35" x14ac:dyDescent="0.25">
      <c r="B24" s="12">
        <v>22</v>
      </c>
      <c r="C24" s="12"/>
      <c r="D24" s="12"/>
      <c r="E24" s="1">
        <f>SUM(F24:AI24)</f>
        <v>0</v>
      </c>
      <c r="F24" s="1">
        <f>SUMIF('Rennen 1'!$D$3:$D$26,Teamauswertung!$C24,'Rennen 1'!$I$3:$I$26)</f>
        <v>0</v>
      </c>
      <c r="G24" s="1">
        <f>SUMIF('Rennen 2'!$D$3:$D$26,Teamauswertung!$C24,'Rennen 2'!$I$3:$I$26)</f>
        <v>0</v>
      </c>
      <c r="H24" s="1">
        <f>SUMIF('Rennen 3'!$D$3:$D$26,Teamauswertung!$C24,'Rennen 3'!$I$3:$I$26)</f>
        <v>0</v>
      </c>
      <c r="I24" s="1">
        <f>SUMIF('Rennen 4'!$D$3:$D$26,Teamauswertung!$C24,'Rennen 4'!$I$3:$I$26)</f>
        <v>0</v>
      </c>
      <c r="J24" s="1">
        <f>SUMIF('Rennen 5'!$D$3:$D$26,Teamauswertung!$C24,'Rennen 5'!$I$3:$I$26)</f>
        <v>0</v>
      </c>
      <c r="K24" s="1">
        <f>SUMIF('Rennen 6'!$D$3:$D$26,Teamauswertung!$C24,'Rennen 6'!$I$3:$I$26)</f>
        <v>0</v>
      </c>
      <c r="L24" s="1">
        <f>SUMIF('Rennen 7'!$D$3:$D$26,Teamauswertung!$C24,'Rennen 7'!$I$3:$I$26)</f>
        <v>0</v>
      </c>
      <c r="M24" s="1">
        <f>SUMIF('Rennen 8'!$D$3:$D$26,Teamauswertung!$C24,'Rennen 8'!$I$3:$I$26)</f>
        <v>0</v>
      </c>
      <c r="N24" s="1">
        <f>SUMIF('Rennen 9'!$D$3:$D$26,Teamauswertung!$C24,'Rennen 9'!$I$3:$I$26)</f>
        <v>0</v>
      </c>
      <c r="O24" s="1">
        <f>SUMIF('Rennen 10'!$D$3:$D$26,Teamauswertung!$C24,'Rennen 10'!$I$3:$I$26)</f>
        <v>0</v>
      </c>
      <c r="P24" s="1">
        <f>SUMIF('Rennen 11'!$D$3:$D$26,Teamauswertung!$C24,'Rennen 11'!$I$3:$I$26)</f>
        <v>0</v>
      </c>
      <c r="Q24" s="1">
        <f>SUMIF('Rennen 12'!$D$3:$D$26,Teamauswertung!$C24,'Rennen 12'!$I$3:$I$26)</f>
        <v>0</v>
      </c>
      <c r="R24" s="1">
        <f>SUMIF('Rennen 13'!$D$3:$D$26,Teamauswertung!$C24,'Rennen 13'!$I$3:$I$26)</f>
        <v>0</v>
      </c>
      <c r="S24" s="1">
        <f>SUMIF('Rennen 14'!$D$3:$D$26,Teamauswertung!$C24,'Rennen 14'!$I$3:$I$26)</f>
        <v>0</v>
      </c>
      <c r="T24" s="1">
        <f>SUMIF('Rennen 15'!$D$3:$D$26,Teamauswertung!$C24,'Rennen 15'!$I$3:$I$26)</f>
        <v>0</v>
      </c>
      <c r="U24" s="1">
        <f>SUMIF('Rennen 16'!$D$3:$D$26,Teamauswertung!$C24,'Rennen 16'!$I$3:$I$26)</f>
        <v>0</v>
      </c>
      <c r="V24" s="1">
        <f>SUMIF('Rennen 17'!$D$3:$D$26,Teamauswertung!$C24,'Rennen 17'!$I$3:$I$26)</f>
        <v>0</v>
      </c>
      <c r="W24" s="1">
        <f>SUMIF('Rennen 18'!$D$3:$D$26,Teamauswertung!$C24,'Rennen 18'!$I$3:$I$26)</f>
        <v>0</v>
      </c>
      <c r="X24" s="1">
        <f>SUMIF('Rennen 19'!$D$3:$D$26,Teamauswertung!$C24,'Rennen 19'!$I$3:$I$26)</f>
        <v>0</v>
      </c>
      <c r="Y24" s="1">
        <f>SUMIF('Rennen 20'!$D$3:$D$26,Teamauswertung!$C24,'Rennen 20'!$I$3:$I$26)</f>
        <v>0</v>
      </c>
      <c r="Z24" s="1">
        <f>SUMIF('Rennen 21'!$D$3:$D$26,Teamauswertung!$C24,'Rennen 21'!$I$3:$I$26)</f>
        <v>0</v>
      </c>
      <c r="AA24" s="1">
        <f>SUMIF('Rennen 22'!$D$3:$D$26,Teamauswertung!$C24,'Rennen 22'!$I$3:$I$26)</f>
        <v>0</v>
      </c>
      <c r="AB24" s="1">
        <f>SUMIF('Rennen 23'!$D$3:$D$26,Teamauswertung!$C24,'Rennen 23'!$I$3:$I$26)</f>
        <v>0</v>
      </c>
      <c r="AC24" s="1">
        <f>SUMIF('Rennen 24'!$D$3:$D$26,Teamauswertung!$C24,'Rennen 24'!$I$3:$I$26)</f>
        <v>0</v>
      </c>
      <c r="AD24" s="1">
        <f>SUMIF('Rennen 25'!$D$3:$D$26,Teamauswertung!$C24,'Rennen 25'!$I$3:$I$26)</f>
        <v>0</v>
      </c>
      <c r="AE24" s="1">
        <f>SUMIF('Rennen 26'!$D$3:$D$26,Teamauswertung!$C24,'Rennen 26'!$I$3:$I$26)</f>
        <v>0</v>
      </c>
      <c r="AF24" s="1">
        <f>SUMIF('Rennen 27'!$D$3:$D$26,Teamauswertung!$C24,'Rennen 27'!$I$3:$I$26)</f>
        <v>0</v>
      </c>
      <c r="AG24" s="1">
        <f>SUMIF('Rennen 28'!$D$3:$D$26,Teamauswertung!$C24,'Rennen 28'!$I$3:$I$26)</f>
        <v>0</v>
      </c>
      <c r="AH24" s="1">
        <f>SUMIF('Rennen 29'!$D$3:$D$26,Teamauswertung!$C24,'Rennen 29'!$I$3:$I$26)</f>
        <v>0</v>
      </c>
      <c r="AI24" s="1">
        <f>SUMIF('Rennen 30'!$D$3:$D$26,Teamauswertung!$C24,'Rennen 30'!$I$3:$I$26)</f>
        <v>0</v>
      </c>
    </row>
    <row r="25" spans="2:35" x14ac:dyDescent="0.25">
      <c r="B25" s="12">
        <v>23</v>
      </c>
      <c r="C25" s="12"/>
      <c r="D25" s="12"/>
      <c r="E25" s="1">
        <f>SUM(F25:AI25)</f>
        <v>0</v>
      </c>
      <c r="F25" s="1">
        <f>SUMIF('Rennen 1'!$D$3:$D$26,Teamauswertung!$C25,'Rennen 1'!$I$3:$I$26)</f>
        <v>0</v>
      </c>
      <c r="G25" s="1">
        <f>SUMIF('Rennen 2'!$D$3:$D$26,Teamauswertung!$C25,'Rennen 2'!$I$3:$I$26)</f>
        <v>0</v>
      </c>
      <c r="H25" s="1">
        <f>SUMIF('Rennen 3'!$D$3:$D$26,Teamauswertung!$C25,'Rennen 3'!$I$3:$I$26)</f>
        <v>0</v>
      </c>
      <c r="I25" s="1">
        <f>SUMIF('Rennen 4'!$D$3:$D$26,Teamauswertung!$C25,'Rennen 4'!$I$3:$I$26)</f>
        <v>0</v>
      </c>
      <c r="J25" s="1">
        <f>SUMIF('Rennen 5'!$D$3:$D$26,Teamauswertung!$C25,'Rennen 5'!$I$3:$I$26)</f>
        <v>0</v>
      </c>
      <c r="K25" s="1">
        <f>SUMIF('Rennen 6'!$D$3:$D$26,Teamauswertung!$C25,'Rennen 6'!$I$3:$I$26)</f>
        <v>0</v>
      </c>
      <c r="L25" s="1">
        <f>SUMIF('Rennen 7'!$D$3:$D$26,Teamauswertung!$C25,'Rennen 7'!$I$3:$I$26)</f>
        <v>0</v>
      </c>
      <c r="M25" s="1">
        <f>SUMIF('Rennen 8'!$D$3:$D$26,Teamauswertung!$C25,'Rennen 8'!$I$3:$I$26)</f>
        <v>0</v>
      </c>
      <c r="N25" s="1">
        <f>SUMIF('Rennen 9'!$D$3:$D$26,Teamauswertung!$C25,'Rennen 9'!$I$3:$I$26)</f>
        <v>0</v>
      </c>
      <c r="O25" s="1">
        <f>SUMIF('Rennen 10'!$D$3:$D$26,Teamauswertung!$C25,'Rennen 10'!$I$3:$I$26)</f>
        <v>0</v>
      </c>
      <c r="P25" s="1">
        <f>SUMIF('Rennen 11'!$D$3:$D$26,Teamauswertung!$C25,'Rennen 11'!$I$3:$I$26)</f>
        <v>0</v>
      </c>
      <c r="Q25" s="1">
        <f>SUMIF('Rennen 12'!$D$3:$D$26,Teamauswertung!$C25,'Rennen 12'!$I$3:$I$26)</f>
        <v>0</v>
      </c>
      <c r="R25" s="1">
        <f>SUMIF('Rennen 13'!$D$3:$D$26,Teamauswertung!$C25,'Rennen 13'!$I$3:$I$26)</f>
        <v>0</v>
      </c>
      <c r="S25" s="1">
        <f>SUMIF('Rennen 14'!$D$3:$D$26,Teamauswertung!$C25,'Rennen 14'!$I$3:$I$26)</f>
        <v>0</v>
      </c>
      <c r="T25" s="1">
        <f>SUMIF('Rennen 15'!$D$3:$D$26,Teamauswertung!$C25,'Rennen 15'!$I$3:$I$26)</f>
        <v>0</v>
      </c>
      <c r="U25" s="1">
        <f>SUMIF('Rennen 16'!$D$3:$D$26,Teamauswertung!$C25,'Rennen 16'!$I$3:$I$26)</f>
        <v>0</v>
      </c>
      <c r="V25" s="1">
        <f>SUMIF('Rennen 17'!$D$3:$D$26,Teamauswertung!$C25,'Rennen 17'!$I$3:$I$26)</f>
        <v>0</v>
      </c>
      <c r="W25" s="1">
        <f>SUMIF('Rennen 18'!$D$3:$D$26,Teamauswertung!$C25,'Rennen 18'!$I$3:$I$26)</f>
        <v>0</v>
      </c>
      <c r="X25" s="1">
        <f>SUMIF('Rennen 19'!$D$3:$D$26,Teamauswertung!$C25,'Rennen 19'!$I$3:$I$26)</f>
        <v>0</v>
      </c>
      <c r="Y25" s="1">
        <f>SUMIF('Rennen 20'!$D$3:$D$26,Teamauswertung!$C25,'Rennen 20'!$I$3:$I$26)</f>
        <v>0</v>
      </c>
      <c r="Z25" s="1">
        <f>SUMIF('Rennen 21'!$D$3:$D$26,Teamauswertung!$C25,'Rennen 21'!$I$3:$I$26)</f>
        <v>0</v>
      </c>
      <c r="AA25" s="1">
        <f>SUMIF('Rennen 22'!$D$3:$D$26,Teamauswertung!$C25,'Rennen 22'!$I$3:$I$26)</f>
        <v>0</v>
      </c>
      <c r="AB25" s="1">
        <f>SUMIF('Rennen 23'!$D$3:$D$26,Teamauswertung!$C25,'Rennen 23'!$I$3:$I$26)</f>
        <v>0</v>
      </c>
      <c r="AC25" s="1">
        <f>SUMIF('Rennen 24'!$D$3:$D$26,Teamauswertung!$C25,'Rennen 24'!$I$3:$I$26)</f>
        <v>0</v>
      </c>
      <c r="AD25" s="1">
        <f>SUMIF('Rennen 25'!$D$3:$D$26,Teamauswertung!$C25,'Rennen 25'!$I$3:$I$26)</f>
        <v>0</v>
      </c>
      <c r="AE25" s="1">
        <f>SUMIF('Rennen 26'!$D$3:$D$26,Teamauswertung!$C25,'Rennen 26'!$I$3:$I$26)</f>
        <v>0</v>
      </c>
      <c r="AF25" s="1">
        <f>SUMIF('Rennen 27'!$D$3:$D$26,Teamauswertung!$C25,'Rennen 27'!$I$3:$I$26)</f>
        <v>0</v>
      </c>
      <c r="AG25" s="1">
        <f>SUMIF('Rennen 28'!$D$3:$D$26,Teamauswertung!$C25,'Rennen 28'!$I$3:$I$26)</f>
        <v>0</v>
      </c>
      <c r="AH25" s="1">
        <f>SUMIF('Rennen 29'!$D$3:$D$26,Teamauswertung!$C25,'Rennen 29'!$I$3:$I$26)</f>
        <v>0</v>
      </c>
      <c r="AI25" s="1">
        <f>SUMIF('Rennen 30'!$D$3:$D$26,Teamauswertung!$C25,'Rennen 30'!$I$3:$I$26)</f>
        <v>0</v>
      </c>
    </row>
    <row r="26" spans="2:35" x14ac:dyDescent="0.25">
      <c r="B26" s="12">
        <v>24</v>
      </c>
      <c r="C26" s="12"/>
      <c r="D26" s="12"/>
      <c r="E26" s="1">
        <f>SUM(F26:AI26)</f>
        <v>0</v>
      </c>
      <c r="F26" s="1">
        <f>SUMIF('Rennen 1'!$D$3:$D$26,Teamauswertung!$C26,'Rennen 1'!$I$3:$I$26)</f>
        <v>0</v>
      </c>
      <c r="G26" s="1">
        <f>SUMIF('Rennen 2'!$D$3:$D$26,Teamauswertung!$C26,'Rennen 2'!$I$3:$I$26)</f>
        <v>0</v>
      </c>
      <c r="H26" s="1">
        <f>SUMIF('Rennen 3'!$D$3:$D$26,Teamauswertung!$C26,'Rennen 3'!$I$3:$I$26)</f>
        <v>0</v>
      </c>
      <c r="I26" s="1">
        <f>SUMIF('Rennen 4'!$D$3:$D$26,Teamauswertung!$C26,'Rennen 4'!$I$3:$I$26)</f>
        <v>0</v>
      </c>
      <c r="J26" s="1">
        <f>SUMIF('Rennen 5'!$D$3:$D$26,Teamauswertung!$C26,'Rennen 5'!$I$3:$I$26)</f>
        <v>0</v>
      </c>
      <c r="K26" s="1">
        <f>SUMIF('Rennen 6'!$D$3:$D$26,Teamauswertung!$C26,'Rennen 6'!$I$3:$I$26)</f>
        <v>0</v>
      </c>
      <c r="L26" s="1">
        <f>SUMIF('Rennen 7'!$D$3:$D$26,Teamauswertung!$C26,'Rennen 7'!$I$3:$I$26)</f>
        <v>0</v>
      </c>
      <c r="M26" s="1">
        <f>SUMIF('Rennen 8'!$D$3:$D$26,Teamauswertung!$C26,'Rennen 8'!$I$3:$I$26)</f>
        <v>0</v>
      </c>
      <c r="N26" s="1">
        <f>SUMIF('Rennen 9'!$D$3:$D$26,Teamauswertung!$C26,'Rennen 9'!$I$3:$I$26)</f>
        <v>0</v>
      </c>
      <c r="O26" s="1">
        <f>SUMIF('Rennen 10'!$D$3:$D$26,Teamauswertung!$C26,'Rennen 10'!$I$3:$I$26)</f>
        <v>0</v>
      </c>
      <c r="P26" s="1">
        <f>SUMIF('Rennen 11'!$D$3:$D$26,Teamauswertung!$C26,'Rennen 11'!$I$3:$I$26)</f>
        <v>0</v>
      </c>
      <c r="Q26" s="1">
        <f>SUMIF('Rennen 12'!$D$3:$D$26,Teamauswertung!$C26,'Rennen 12'!$I$3:$I$26)</f>
        <v>0</v>
      </c>
      <c r="R26" s="1">
        <f>SUMIF('Rennen 13'!$D$3:$D$26,Teamauswertung!$C26,'Rennen 13'!$I$3:$I$26)</f>
        <v>0</v>
      </c>
      <c r="S26" s="1">
        <f>SUMIF('Rennen 14'!$D$3:$D$26,Teamauswertung!$C26,'Rennen 14'!$I$3:$I$26)</f>
        <v>0</v>
      </c>
      <c r="T26" s="1">
        <f>SUMIF('Rennen 15'!$D$3:$D$26,Teamauswertung!$C26,'Rennen 15'!$I$3:$I$26)</f>
        <v>0</v>
      </c>
      <c r="U26" s="1">
        <f>SUMIF('Rennen 16'!$D$3:$D$26,Teamauswertung!$C26,'Rennen 16'!$I$3:$I$26)</f>
        <v>0</v>
      </c>
      <c r="V26" s="1">
        <f>SUMIF('Rennen 17'!$D$3:$D$26,Teamauswertung!$C26,'Rennen 17'!$I$3:$I$26)</f>
        <v>0</v>
      </c>
      <c r="W26" s="1">
        <f>SUMIF('Rennen 18'!$D$3:$D$26,Teamauswertung!$C26,'Rennen 18'!$I$3:$I$26)</f>
        <v>0</v>
      </c>
      <c r="X26" s="1">
        <f>SUMIF('Rennen 19'!$D$3:$D$26,Teamauswertung!$C26,'Rennen 19'!$I$3:$I$26)</f>
        <v>0</v>
      </c>
      <c r="Y26" s="1">
        <f>SUMIF('Rennen 20'!$D$3:$D$26,Teamauswertung!$C26,'Rennen 20'!$I$3:$I$26)</f>
        <v>0</v>
      </c>
      <c r="Z26" s="1">
        <f>SUMIF('Rennen 21'!$D$3:$D$26,Teamauswertung!$C26,'Rennen 21'!$I$3:$I$26)</f>
        <v>0</v>
      </c>
      <c r="AA26" s="1">
        <f>SUMIF('Rennen 22'!$D$3:$D$26,Teamauswertung!$C26,'Rennen 22'!$I$3:$I$26)</f>
        <v>0</v>
      </c>
      <c r="AB26" s="1">
        <f>SUMIF('Rennen 23'!$D$3:$D$26,Teamauswertung!$C26,'Rennen 23'!$I$3:$I$26)</f>
        <v>0</v>
      </c>
      <c r="AC26" s="1">
        <f>SUMIF('Rennen 24'!$D$3:$D$26,Teamauswertung!$C26,'Rennen 24'!$I$3:$I$26)</f>
        <v>0</v>
      </c>
      <c r="AD26" s="1">
        <f>SUMIF('Rennen 25'!$D$3:$D$26,Teamauswertung!$C26,'Rennen 25'!$I$3:$I$26)</f>
        <v>0</v>
      </c>
      <c r="AE26" s="1">
        <f>SUMIF('Rennen 26'!$D$3:$D$26,Teamauswertung!$C26,'Rennen 26'!$I$3:$I$26)</f>
        <v>0</v>
      </c>
      <c r="AF26" s="1">
        <f>SUMIF('Rennen 27'!$D$3:$D$26,Teamauswertung!$C26,'Rennen 27'!$I$3:$I$26)</f>
        <v>0</v>
      </c>
      <c r="AG26" s="1">
        <f>SUMIF('Rennen 28'!$D$3:$D$26,Teamauswertung!$C26,'Rennen 28'!$I$3:$I$26)</f>
        <v>0</v>
      </c>
      <c r="AH26" s="1">
        <f>SUMIF('Rennen 29'!$D$3:$D$26,Teamauswertung!$C26,'Rennen 29'!$I$3:$I$26)</f>
        <v>0</v>
      </c>
      <c r="AI26" s="1">
        <f>SUMIF('Rennen 30'!$D$3:$D$26,Teamauswertung!$C26,'Rennen 30'!$I$3:$I$26)</f>
        <v>0</v>
      </c>
    </row>
    <row r="27" spans="2:35" x14ac:dyDescent="0.25">
      <c r="B27" s="12">
        <v>25</v>
      </c>
      <c r="C27" s="12"/>
      <c r="D27" s="12"/>
      <c r="E27" s="1">
        <f>SUM(F27:AI27)</f>
        <v>0</v>
      </c>
      <c r="F27" s="1">
        <f>SUMIF('Rennen 1'!$D$3:$D$26,Teamauswertung!$C27,'Rennen 1'!$I$3:$I$26)</f>
        <v>0</v>
      </c>
      <c r="G27" s="1">
        <f>SUMIF('Rennen 2'!$D$3:$D$26,Teamauswertung!$C27,'Rennen 2'!$I$3:$I$26)</f>
        <v>0</v>
      </c>
      <c r="H27" s="1">
        <f>SUMIF('Rennen 3'!$D$3:$D$26,Teamauswertung!$C27,'Rennen 3'!$I$3:$I$26)</f>
        <v>0</v>
      </c>
      <c r="I27" s="1">
        <f>SUMIF('Rennen 4'!$D$3:$D$26,Teamauswertung!$C27,'Rennen 4'!$I$3:$I$26)</f>
        <v>0</v>
      </c>
      <c r="J27" s="1">
        <f>SUMIF('Rennen 5'!$D$3:$D$26,Teamauswertung!$C27,'Rennen 5'!$I$3:$I$26)</f>
        <v>0</v>
      </c>
      <c r="K27" s="1">
        <f>SUMIF('Rennen 6'!$D$3:$D$26,Teamauswertung!$C27,'Rennen 6'!$I$3:$I$26)</f>
        <v>0</v>
      </c>
      <c r="L27" s="1">
        <f>SUMIF('Rennen 7'!$D$3:$D$26,Teamauswertung!$C27,'Rennen 7'!$I$3:$I$26)</f>
        <v>0</v>
      </c>
      <c r="M27" s="1">
        <f>SUMIF('Rennen 8'!$D$3:$D$26,Teamauswertung!$C27,'Rennen 8'!$I$3:$I$26)</f>
        <v>0</v>
      </c>
      <c r="N27" s="1">
        <f>SUMIF('Rennen 9'!$D$3:$D$26,Teamauswertung!$C27,'Rennen 9'!$I$3:$I$26)</f>
        <v>0</v>
      </c>
      <c r="O27" s="1">
        <f>SUMIF('Rennen 10'!$D$3:$D$26,Teamauswertung!$C27,'Rennen 10'!$I$3:$I$26)</f>
        <v>0</v>
      </c>
      <c r="P27" s="1">
        <f>SUMIF('Rennen 11'!$D$3:$D$26,Teamauswertung!$C27,'Rennen 11'!$I$3:$I$26)</f>
        <v>0</v>
      </c>
      <c r="Q27" s="1">
        <f>SUMIF('Rennen 12'!$D$3:$D$26,Teamauswertung!$C27,'Rennen 12'!$I$3:$I$26)</f>
        <v>0</v>
      </c>
      <c r="R27" s="1">
        <f>SUMIF('Rennen 13'!$D$3:$D$26,Teamauswertung!$C27,'Rennen 13'!$I$3:$I$26)</f>
        <v>0</v>
      </c>
      <c r="S27" s="1">
        <f>SUMIF('Rennen 14'!$D$3:$D$26,Teamauswertung!$C27,'Rennen 14'!$I$3:$I$26)</f>
        <v>0</v>
      </c>
      <c r="T27" s="1">
        <f>SUMIF('Rennen 15'!$D$3:$D$26,Teamauswertung!$C27,'Rennen 15'!$I$3:$I$26)</f>
        <v>0</v>
      </c>
      <c r="U27" s="1">
        <f>SUMIF('Rennen 16'!$D$3:$D$26,Teamauswertung!$C27,'Rennen 16'!$I$3:$I$26)</f>
        <v>0</v>
      </c>
      <c r="V27" s="1">
        <f>SUMIF('Rennen 17'!$D$3:$D$26,Teamauswertung!$C27,'Rennen 17'!$I$3:$I$26)</f>
        <v>0</v>
      </c>
      <c r="W27" s="1">
        <f>SUMIF('Rennen 18'!$D$3:$D$26,Teamauswertung!$C27,'Rennen 18'!$I$3:$I$26)</f>
        <v>0</v>
      </c>
      <c r="X27" s="1">
        <f>SUMIF('Rennen 19'!$D$3:$D$26,Teamauswertung!$C27,'Rennen 19'!$I$3:$I$26)</f>
        <v>0</v>
      </c>
      <c r="Y27" s="1">
        <f>SUMIF('Rennen 20'!$D$3:$D$26,Teamauswertung!$C27,'Rennen 20'!$I$3:$I$26)</f>
        <v>0</v>
      </c>
      <c r="Z27" s="1">
        <f>SUMIF('Rennen 21'!$D$3:$D$26,Teamauswertung!$C27,'Rennen 21'!$I$3:$I$26)</f>
        <v>0</v>
      </c>
      <c r="AA27" s="1">
        <f>SUMIF('Rennen 22'!$D$3:$D$26,Teamauswertung!$C27,'Rennen 22'!$I$3:$I$26)</f>
        <v>0</v>
      </c>
      <c r="AB27" s="1">
        <f>SUMIF('Rennen 23'!$D$3:$D$26,Teamauswertung!$C27,'Rennen 23'!$I$3:$I$26)</f>
        <v>0</v>
      </c>
      <c r="AC27" s="1">
        <f>SUMIF('Rennen 24'!$D$3:$D$26,Teamauswertung!$C27,'Rennen 24'!$I$3:$I$26)</f>
        <v>0</v>
      </c>
      <c r="AD27" s="1">
        <f>SUMIF('Rennen 25'!$D$3:$D$26,Teamauswertung!$C27,'Rennen 25'!$I$3:$I$26)</f>
        <v>0</v>
      </c>
      <c r="AE27" s="1">
        <f>SUMIF('Rennen 26'!$D$3:$D$26,Teamauswertung!$C27,'Rennen 26'!$I$3:$I$26)</f>
        <v>0</v>
      </c>
      <c r="AF27" s="1">
        <f>SUMIF('Rennen 27'!$D$3:$D$26,Teamauswertung!$C27,'Rennen 27'!$I$3:$I$26)</f>
        <v>0</v>
      </c>
      <c r="AG27" s="1">
        <f>SUMIF('Rennen 28'!$D$3:$D$26,Teamauswertung!$C27,'Rennen 28'!$I$3:$I$26)</f>
        <v>0</v>
      </c>
      <c r="AH27" s="1">
        <f>SUMIF('Rennen 29'!$D$3:$D$26,Teamauswertung!$C27,'Rennen 29'!$I$3:$I$26)</f>
        <v>0</v>
      </c>
      <c r="AI27" s="1">
        <f>SUMIF('Rennen 30'!$D$3:$D$26,Teamauswertung!$C27,'Rennen 30'!$I$3:$I$26)</f>
        <v>0</v>
      </c>
    </row>
    <row r="28" spans="2:35" x14ac:dyDescent="0.25">
      <c r="B28" s="12">
        <v>26</v>
      </c>
      <c r="C28" s="12"/>
      <c r="D28" s="12"/>
      <c r="E28" s="1">
        <f>SUM(F28:AI28)</f>
        <v>0</v>
      </c>
      <c r="F28" s="1">
        <f>SUMIF('Rennen 1'!$D$3:$D$26,Teamauswertung!$C28,'Rennen 1'!$I$3:$I$26)</f>
        <v>0</v>
      </c>
      <c r="G28" s="1">
        <f>SUMIF('Rennen 2'!$D$3:$D$26,Teamauswertung!$C28,'Rennen 2'!$I$3:$I$26)</f>
        <v>0</v>
      </c>
      <c r="H28" s="1">
        <f>SUMIF('Rennen 3'!$D$3:$D$26,Teamauswertung!$C28,'Rennen 3'!$I$3:$I$26)</f>
        <v>0</v>
      </c>
      <c r="I28" s="1">
        <f>SUMIF('Rennen 4'!$D$3:$D$26,Teamauswertung!$C28,'Rennen 4'!$I$3:$I$26)</f>
        <v>0</v>
      </c>
      <c r="J28" s="1">
        <f>SUMIF('Rennen 5'!$D$3:$D$26,Teamauswertung!$C28,'Rennen 5'!$I$3:$I$26)</f>
        <v>0</v>
      </c>
      <c r="K28" s="1">
        <f>SUMIF('Rennen 6'!$D$3:$D$26,Teamauswertung!$C28,'Rennen 6'!$I$3:$I$26)</f>
        <v>0</v>
      </c>
      <c r="L28" s="1">
        <f>SUMIF('Rennen 7'!$D$3:$D$26,Teamauswertung!$C28,'Rennen 7'!$I$3:$I$26)</f>
        <v>0</v>
      </c>
      <c r="M28" s="1">
        <f>SUMIF('Rennen 8'!$D$3:$D$26,Teamauswertung!$C28,'Rennen 8'!$I$3:$I$26)</f>
        <v>0</v>
      </c>
      <c r="N28" s="1">
        <f>SUMIF('Rennen 9'!$D$3:$D$26,Teamauswertung!$C28,'Rennen 9'!$I$3:$I$26)</f>
        <v>0</v>
      </c>
      <c r="O28" s="1">
        <f>SUMIF('Rennen 10'!$D$3:$D$26,Teamauswertung!$C28,'Rennen 10'!$I$3:$I$26)</f>
        <v>0</v>
      </c>
      <c r="P28" s="1">
        <f>SUMIF('Rennen 11'!$D$3:$D$26,Teamauswertung!$C28,'Rennen 11'!$I$3:$I$26)</f>
        <v>0</v>
      </c>
      <c r="Q28" s="1">
        <f>SUMIF('Rennen 12'!$D$3:$D$26,Teamauswertung!$C28,'Rennen 12'!$I$3:$I$26)</f>
        <v>0</v>
      </c>
      <c r="R28" s="1">
        <f>SUMIF('Rennen 13'!$D$3:$D$26,Teamauswertung!$C28,'Rennen 13'!$I$3:$I$26)</f>
        <v>0</v>
      </c>
      <c r="S28" s="1">
        <f>SUMIF('Rennen 14'!$D$3:$D$26,Teamauswertung!$C28,'Rennen 14'!$I$3:$I$26)</f>
        <v>0</v>
      </c>
      <c r="T28" s="1">
        <f>SUMIF('Rennen 15'!$D$3:$D$26,Teamauswertung!$C28,'Rennen 15'!$I$3:$I$26)</f>
        <v>0</v>
      </c>
      <c r="U28" s="1">
        <f>SUMIF('Rennen 16'!$D$3:$D$26,Teamauswertung!$C28,'Rennen 16'!$I$3:$I$26)</f>
        <v>0</v>
      </c>
      <c r="V28" s="1">
        <f>SUMIF('Rennen 17'!$D$3:$D$26,Teamauswertung!$C28,'Rennen 17'!$I$3:$I$26)</f>
        <v>0</v>
      </c>
      <c r="W28" s="1">
        <f>SUMIF('Rennen 18'!$D$3:$D$26,Teamauswertung!$C28,'Rennen 18'!$I$3:$I$26)</f>
        <v>0</v>
      </c>
      <c r="X28" s="1">
        <f>SUMIF('Rennen 19'!$D$3:$D$26,Teamauswertung!$C28,'Rennen 19'!$I$3:$I$26)</f>
        <v>0</v>
      </c>
      <c r="Y28" s="1">
        <f>SUMIF('Rennen 20'!$D$3:$D$26,Teamauswertung!$C28,'Rennen 20'!$I$3:$I$26)</f>
        <v>0</v>
      </c>
      <c r="Z28" s="1">
        <f>SUMIF('Rennen 21'!$D$3:$D$26,Teamauswertung!$C28,'Rennen 21'!$I$3:$I$26)</f>
        <v>0</v>
      </c>
      <c r="AA28" s="1">
        <f>SUMIF('Rennen 22'!$D$3:$D$26,Teamauswertung!$C28,'Rennen 22'!$I$3:$I$26)</f>
        <v>0</v>
      </c>
      <c r="AB28" s="1">
        <f>SUMIF('Rennen 23'!$D$3:$D$26,Teamauswertung!$C28,'Rennen 23'!$I$3:$I$26)</f>
        <v>0</v>
      </c>
      <c r="AC28" s="1">
        <f>SUMIF('Rennen 24'!$D$3:$D$26,Teamauswertung!$C28,'Rennen 24'!$I$3:$I$26)</f>
        <v>0</v>
      </c>
      <c r="AD28" s="1">
        <f>SUMIF('Rennen 25'!$D$3:$D$26,Teamauswertung!$C28,'Rennen 25'!$I$3:$I$26)</f>
        <v>0</v>
      </c>
      <c r="AE28" s="1">
        <f>SUMIF('Rennen 26'!$D$3:$D$26,Teamauswertung!$C28,'Rennen 26'!$I$3:$I$26)</f>
        <v>0</v>
      </c>
      <c r="AF28" s="1">
        <f>SUMIF('Rennen 27'!$D$3:$D$26,Teamauswertung!$C28,'Rennen 27'!$I$3:$I$26)</f>
        <v>0</v>
      </c>
      <c r="AG28" s="1">
        <f>SUMIF('Rennen 28'!$D$3:$D$26,Teamauswertung!$C28,'Rennen 28'!$I$3:$I$26)</f>
        <v>0</v>
      </c>
      <c r="AH28" s="1">
        <f>SUMIF('Rennen 29'!$D$3:$D$26,Teamauswertung!$C28,'Rennen 29'!$I$3:$I$26)</f>
        <v>0</v>
      </c>
      <c r="AI28" s="1">
        <f>SUMIF('Rennen 30'!$D$3:$D$26,Teamauswertung!$C28,'Rennen 30'!$I$3:$I$26)</f>
        <v>0</v>
      </c>
    </row>
    <row r="29" spans="2:35" x14ac:dyDescent="0.25">
      <c r="B29" s="12">
        <v>27</v>
      </c>
      <c r="C29" s="12"/>
      <c r="D29" s="12"/>
      <c r="E29" s="1">
        <f>SUM(F29:AI29)</f>
        <v>0</v>
      </c>
      <c r="F29" s="1">
        <f>SUMIF('Rennen 1'!$D$3:$D$26,Teamauswertung!$C29,'Rennen 1'!$I$3:$I$26)</f>
        <v>0</v>
      </c>
      <c r="G29" s="1">
        <f>SUMIF('Rennen 2'!$D$3:$D$26,Teamauswertung!$C29,'Rennen 2'!$I$3:$I$26)</f>
        <v>0</v>
      </c>
      <c r="H29" s="1">
        <f>SUMIF('Rennen 3'!$D$3:$D$26,Teamauswertung!$C29,'Rennen 3'!$I$3:$I$26)</f>
        <v>0</v>
      </c>
      <c r="I29" s="1">
        <f>SUMIF('Rennen 4'!$D$3:$D$26,Teamauswertung!$C29,'Rennen 4'!$I$3:$I$26)</f>
        <v>0</v>
      </c>
      <c r="J29" s="1">
        <f>SUMIF('Rennen 5'!$D$3:$D$26,Teamauswertung!$C29,'Rennen 5'!$I$3:$I$26)</f>
        <v>0</v>
      </c>
      <c r="K29" s="1">
        <f>SUMIF('Rennen 6'!$D$3:$D$26,Teamauswertung!$C29,'Rennen 6'!$I$3:$I$26)</f>
        <v>0</v>
      </c>
      <c r="L29" s="1">
        <f>SUMIF('Rennen 7'!$D$3:$D$26,Teamauswertung!$C29,'Rennen 7'!$I$3:$I$26)</f>
        <v>0</v>
      </c>
      <c r="M29" s="1">
        <f>SUMIF('Rennen 8'!$D$3:$D$26,Teamauswertung!$C29,'Rennen 8'!$I$3:$I$26)</f>
        <v>0</v>
      </c>
      <c r="N29" s="1">
        <f>SUMIF('Rennen 9'!$D$3:$D$26,Teamauswertung!$C29,'Rennen 9'!$I$3:$I$26)</f>
        <v>0</v>
      </c>
      <c r="O29" s="1">
        <f>SUMIF('Rennen 10'!$D$3:$D$26,Teamauswertung!$C29,'Rennen 10'!$I$3:$I$26)</f>
        <v>0</v>
      </c>
      <c r="P29" s="1">
        <f>SUMIF('Rennen 11'!$D$3:$D$26,Teamauswertung!$C29,'Rennen 11'!$I$3:$I$26)</f>
        <v>0</v>
      </c>
      <c r="Q29" s="1">
        <f>SUMIF('Rennen 12'!$D$3:$D$26,Teamauswertung!$C29,'Rennen 12'!$I$3:$I$26)</f>
        <v>0</v>
      </c>
      <c r="R29" s="1">
        <f>SUMIF('Rennen 13'!$D$3:$D$26,Teamauswertung!$C29,'Rennen 13'!$I$3:$I$26)</f>
        <v>0</v>
      </c>
      <c r="S29" s="1">
        <f>SUMIF('Rennen 14'!$D$3:$D$26,Teamauswertung!$C29,'Rennen 14'!$I$3:$I$26)</f>
        <v>0</v>
      </c>
      <c r="T29" s="1">
        <f>SUMIF('Rennen 15'!$D$3:$D$26,Teamauswertung!$C29,'Rennen 15'!$I$3:$I$26)</f>
        <v>0</v>
      </c>
      <c r="U29" s="1">
        <f>SUMIF('Rennen 16'!$D$3:$D$26,Teamauswertung!$C29,'Rennen 16'!$I$3:$I$26)</f>
        <v>0</v>
      </c>
      <c r="V29" s="1">
        <f>SUMIF('Rennen 17'!$D$3:$D$26,Teamauswertung!$C29,'Rennen 17'!$I$3:$I$26)</f>
        <v>0</v>
      </c>
      <c r="W29" s="1">
        <f>SUMIF('Rennen 18'!$D$3:$D$26,Teamauswertung!$C29,'Rennen 18'!$I$3:$I$26)</f>
        <v>0</v>
      </c>
      <c r="X29" s="1">
        <f>SUMIF('Rennen 19'!$D$3:$D$26,Teamauswertung!$C29,'Rennen 19'!$I$3:$I$26)</f>
        <v>0</v>
      </c>
      <c r="Y29" s="1">
        <f>SUMIF('Rennen 20'!$D$3:$D$26,Teamauswertung!$C29,'Rennen 20'!$I$3:$I$26)</f>
        <v>0</v>
      </c>
      <c r="Z29" s="1">
        <f>SUMIF('Rennen 21'!$D$3:$D$26,Teamauswertung!$C29,'Rennen 21'!$I$3:$I$26)</f>
        <v>0</v>
      </c>
      <c r="AA29" s="1">
        <f>SUMIF('Rennen 22'!$D$3:$D$26,Teamauswertung!$C29,'Rennen 22'!$I$3:$I$26)</f>
        <v>0</v>
      </c>
      <c r="AB29" s="1">
        <f>SUMIF('Rennen 23'!$D$3:$D$26,Teamauswertung!$C29,'Rennen 23'!$I$3:$I$26)</f>
        <v>0</v>
      </c>
      <c r="AC29" s="1">
        <f>SUMIF('Rennen 24'!$D$3:$D$26,Teamauswertung!$C29,'Rennen 24'!$I$3:$I$26)</f>
        <v>0</v>
      </c>
      <c r="AD29" s="1">
        <f>SUMIF('Rennen 25'!$D$3:$D$26,Teamauswertung!$C29,'Rennen 25'!$I$3:$I$26)</f>
        <v>0</v>
      </c>
      <c r="AE29" s="1">
        <f>SUMIF('Rennen 26'!$D$3:$D$26,Teamauswertung!$C29,'Rennen 26'!$I$3:$I$26)</f>
        <v>0</v>
      </c>
      <c r="AF29" s="1">
        <f>SUMIF('Rennen 27'!$D$3:$D$26,Teamauswertung!$C29,'Rennen 27'!$I$3:$I$26)</f>
        <v>0</v>
      </c>
      <c r="AG29" s="1">
        <f>SUMIF('Rennen 28'!$D$3:$D$26,Teamauswertung!$C29,'Rennen 28'!$I$3:$I$26)</f>
        <v>0</v>
      </c>
      <c r="AH29" s="1">
        <f>SUMIF('Rennen 29'!$D$3:$D$26,Teamauswertung!$C29,'Rennen 29'!$I$3:$I$26)</f>
        <v>0</v>
      </c>
      <c r="AI29" s="1">
        <f>SUMIF('Rennen 30'!$D$3:$D$26,Teamauswertung!$C29,'Rennen 30'!$I$3:$I$26)</f>
        <v>0</v>
      </c>
    </row>
    <row r="30" spans="2:35" x14ac:dyDescent="0.25">
      <c r="B30" s="12">
        <v>28</v>
      </c>
      <c r="C30" s="12"/>
      <c r="D30" s="12"/>
      <c r="E30" s="1">
        <f>SUM(F30:AI30)</f>
        <v>0</v>
      </c>
      <c r="F30" s="1">
        <f>SUMIF('Rennen 1'!$D$3:$D$26,Teamauswertung!$C30,'Rennen 1'!$I$3:$I$26)</f>
        <v>0</v>
      </c>
      <c r="G30" s="1">
        <f>SUMIF('Rennen 2'!$D$3:$D$26,Teamauswertung!$C30,'Rennen 2'!$I$3:$I$26)</f>
        <v>0</v>
      </c>
      <c r="H30" s="1">
        <f>SUMIF('Rennen 3'!$D$3:$D$26,Teamauswertung!$C30,'Rennen 3'!$I$3:$I$26)</f>
        <v>0</v>
      </c>
      <c r="I30" s="1">
        <f>SUMIF('Rennen 4'!$D$3:$D$26,Teamauswertung!$C30,'Rennen 4'!$I$3:$I$26)</f>
        <v>0</v>
      </c>
      <c r="J30" s="1">
        <f>SUMIF('Rennen 5'!$D$3:$D$26,Teamauswertung!$C30,'Rennen 5'!$I$3:$I$26)</f>
        <v>0</v>
      </c>
      <c r="K30" s="1">
        <f>SUMIF('Rennen 6'!$D$3:$D$26,Teamauswertung!$C30,'Rennen 6'!$I$3:$I$26)</f>
        <v>0</v>
      </c>
      <c r="L30" s="1">
        <f>SUMIF('Rennen 7'!$D$3:$D$26,Teamauswertung!$C30,'Rennen 7'!$I$3:$I$26)</f>
        <v>0</v>
      </c>
      <c r="M30" s="1">
        <f>SUMIF('Rennen 8'!$D$3:$D$26,Teamauswertung!$C30,'Rennen 8'!$I$3:$I$26)</f>
        <v>0</v>
      </c>
      <c r="N30" s="1">
        <f>SUMIF('Rennen 9'!$D$3:$D$26,Teamauswertung!$C30,'Rennen 9'!$I$3:$I$26)</f>
        <v>0</v>
      </c>
      <c r="O30" s="1">
        <f>SUMIF('Rennen 10'!$D$3:$D$26,Teamauswertung!$C30,'Rennen 10'!$I$3:$I$26)</f>
        <v>0</v>
      </c>
      <c r="P30" s="1">
        <f>SUMIF('Rennen 11'!$D$3:$D$26,Teamauswertung!$C30,'Rennen 11'!$I$3:$I$26)</f>
        <v>0</v>
      </c>
      <c r="Q30" s="1">
        <f>SUMIF('Rennen 12'!$D$3:$D$26,Teamauswertung!$C30,'Rennen 12'!$I$3:$I$26)</f>
        <v>0</v>
      </c>
      <c r="R30" s="1">
        <f>SUMIF('Rennen 13'!$D$3:$D$26,Teamauswertung!$C30,'Rennen 13'!$I$3:$I$26)</f>
        <v>0</v>
      </c>
      <c r="S30" s="1">
        <f>SUMIF('Rennen 14'!$D$3:$D$26,Teamauswertung!$C30,'Rennen 14'!$I$3:$I$26)</f>
        <v>0</v>
      </c>
      <c r="T30" s="1">
        <f>SUMIF('Rennen 15'!$D$3:$D$26,Teamauswertung!$C30,'Rennen 15'!$I$3:$I$26)</f>
        <v>0</v>
      </c>
      <c r="U30" s="1">
        <f>SUMIF('Rennen 16'!$D$3:$D$26,Teamauswertung!$C30,'Rennen 16'!$I$3:$I$26)</f>
        <v>0</v>
      </c>
      <c r="V30" s="1">
        <f>SUMIF('Rennen 17'!$D$3:$D$26,Teamauswertung!$C30,'Rennen 17'!$I$3:$I$26)</f>
        <v>0</v>
      </c>
      <c r="W30" s="1">
        <f>SUMIF('Rennen 18'!$D$3:$D$26,Teamauswertung!$C30,'Rennen 18'!$I$3:$I$26)</f>
        <v>0</v>
      </c>
      <c r="X30" s="1">
        <f>SUMIF('Rennen 19'!$D$3:$D$26,Teamauswertung!$C30,'Rennen 19'!$I$3:$I$26)</f>
        <v>0</v>
      </c>
      <c r="Y30" s="1">
        <f>SUMIF('Rennen 20'!$D$3:$D$26,Teamauswertung!$C30,'Rennen 20'!$I$3:$I$26)</f>
        <v>0</v>
      </c>
      <c r="Z30" s="1">
        <f>SUMIF('Rennen 21'!$D$3:$D$26,Teamauswertung!$C30,'Rennen 21'!$I$3:$I$26)</f>
        <v>0</v>
      </c>
      <c r="AA30" s="1">
        <f>SUMIF('Rennen 22'!$D$3:$D$26,Teamauswertung!$C30,'Rennen 22'!$I$3:$I$26)</f>
        <v>0</v>
      </c>
      <c r="AB30" s="1">
        <f>SUMIF('Rennen 23'!$D$3:$D$26,Teamauswertung!$C30,'Rennen 23'!$I$3:$I$26)</f>
        <v>0</v>
      </c>
      <c r="AC30" s="1">
        <f>SUMIF('Rennen 24'!$D$3:$D$26,Teamauswertung!$C30,'Rennen 24'!$I$3:$I$26)</f>
        <v>0</v>
      </c>
      <c r="AD30" s="1">
        <f>SUMIF('Rennen 25'!$D$3:$D$26,Teamauswertung!$C30,'Rennen 25'!$I$3:$I$26)</f>
        <v>0</v>
      </c>
      <c r="AE30" s="1">
        <f>SUMIF('Rennen 26'!$D$3:$D$26,Teamauswertung!$C30,'Rennen 26'!$I$3:$I$26)</f>
        <v>0</v>
      </c>
      <c r="AF30" s="1">
        <f>SUMIF('Rennen 27'!$D$3:$D$26,Teamauswertung!$C30,'Rennen 27'!$I$3:$I$26)</f>
        <v>0</v>
      </c>
      <c r="AG30" s="1">
        <f>SUMIF('Rennen 28'!$D$3:$D$26,Teamauswertung!$C30,'Rennen 28'!$I$3:$I$26)</f>
        <v>0</v>
      </c>
      <c r="AH30" s="1">
        <f>SUMIF('Rennen 29'!$D$3:$D$26,Teamauswertung!$C30,'Rennen 29'!$I$3:$I$26)</f>
        <v>0</v>
      </c>
      <c r="AI30" s="1">
        <f>SUMIF('Rennen 30'!$D$3:$D$26,Teamauswertung!$C30,'Rennen 30'!$I$3:$I$26)</f>
        <v>0</v>
      </c>
    </row>
    <row r="31" spans="2:35" x14ac:dyDescent="0.25">
      <c r="B31" s="12">
        <v>29</v>
      </c>
      <c r="C31" s="12"/>
      <c r="D31" s="12"/>
      <c r="E31" s="1">
        <f>SUM(F31:AI31)</f>
        <v>0</v>
      </c>
      <c r="F31" s="1">
        <f>SUMIF('Rennen 1'!$D$3:$D$26,Teamauswertung!$C31,'Rennen 1'!$I$3:$I$26)</f>
        <v>0</v>
      </c>
      <c r="G31" s="1">
        <f>SUMIF('Rennen 2'!$D$3:$D$26,Teamauswertung!$C31,'Rennen 2'!$I$3:$I$26)</f>
        <v>0</v>
      </c>
      <c r="H31" s="1">
        <f>SUMIF('Rennen 3'!$D$3:$D$26,Teamauswertung!$C31,'Rennen 3'!$I$3:$I$26)</f>
        <v>0</v>
      </c>
      <c r="I31" s="1">
        <f>SUMIF('Rennen 4'!$D$3:$D$26,Teamauswertung!$C31,'Rennen 4'!$I$3:$I$26)</f>
        <v>0</v>
      </c>
      <c r="J31" s="1">
        <f>SUMIF('Rennen 5'!$D$3:$D$26,Teamauswertung!$C31,'Rennen 5'!$I$3:$I$26)</f>
        <v>0</v>
      </c>
      <c r="K31" s="1">
        <f>SUMIF('Rennen 6'!$D$3:$D$26,Teamauswertung!$C31,'Rennen 6'!$I$3:$I$26)</f>
        <v>0</v>
      </c>
      <c r="L31" s="1">
        <f>SUMIF('Rennen 7'!$D$3:$D$26,Teamauswertung!$C31,'Rennen 7'!$I$3:$I$26)</f>
        <v>0</v>
      </c>
      <c r="M31" s="1">
        <f>SUMIF('Rennen 8'!$D$3:$D$26,Teamauswertung!$C31,'Rennen 8'!$I$3:$I$26)</f>
        <v>0</v>
      </c>
      <c r="N31" s="1">
        <f>SUMIF('Rennen 9'!$D$3:$D$26,Teamauswertung!$C31,'Rennen 9'!$I$3:$I$26)</f>
        <v>0</v>
      </c>
      <c r="O31" s="1">
        <f>SUMIF('Rennen 10'!$D$3:$D$26,Teamauswertung!$C31,'Rennen 10'!$I$3:$I$26)</f>
        <v>0</v>
      </c>
      <c r="P31" s="1">
        <f>SUMIF('Rennen 11'!$D$3:$D$26,Teamauswertung!$C31,'Rennen 11'!$I$3:$I$26)</f>
        <v>0</v>
      </c>
      <c r="Q31" s="1">
        <f>SUMIF('Rennen 12'!$D$3:$D$26,Teamauswertung!$C31,'Rennen 12'!$I$3:$I$26)</f>
        <v>0</v>
      </c>
      <c r="R31" s="1">
        <f>SUMIF('Rennen 13'!$D$3:$D$26,Teamauswertung!$C31,'Rennen 13'!$I$3:$I$26)</f>
        <v>0</v>
      </c>
      <c r="S31" s="1">
        <f>SUMIF('Rennen 14'!$D$3:$D$26,Teamauswertung!$C31,'Rennen 14'!$I$3:$I$26)</f>
        <v>0</v>
      </c>
      <c r="T31" s="1">
        <f>SUMIF('Rennen 15'!$D$3:$D$26,Teamauswertung!$C31,'Rennen 15'!$I$3:$I$26)</f>
        <v>0</v>
      </c>
      <c r="U31" s="1">
        <f>SUMIF('Rennen 16'!$D$3:$D$26,Teamauswertung!$C31,'Rennen 16'!$I$3:$I$26)</f>
        <v>0</v>
      </c>
      <c r="V31" s="1">
        <f>SUMIF('Rennen 17'!$D$3:$D$26,Teamauswertung!$C31,'Rennen 17'!$I$3:$I$26)</f>
        <v>0</v>
      </c>
      <c r="W31" s="1">
        <f>SUMIF('Rennen 18'!$D$3:$D$26,Teamauswertung!$C31,'Rennen 18'!$I$3:$I$26)</f>
        <v>0</v>
      </c>
      <c r="X31" s="1">
        <f>SUMIF('Rennen 19'!$D$3:$D$26,Teamauswertung!$C31,'Rennen 19'!$I$3:$I$26)</f>
        <v>0</v>
      </c>
      <c r="Y31" s="1">
        <f>SUMIF('Rennen 20'!$D$3:$D$26,Teamauswertung!$C31,'Rennen 20'!$I$3:$I$26)</f>
        <v>0</v>
      </c>
      <c r="Z31" s="1">
        <f>SUMIF('Rennen 21'!$D$3:$D$26,Teamauswertung!$C31,'Rennen 21'!$I$3:$I$26)</f>
        <v>0</v>
      </c>
      <c r="AA31" s="1">
        <f>SUMIF('Rennen 22'!$D$3:$D$26,Teamauswertung!$C31,'Rennen 22'!$I$3:$I$26)</f>
        <v>0</v>
      </c>
      <c r="AB31" s="1">
        <f>SUMIF('Rennen 23'!$D$3:$D$26,Teamauswertung!$C31,'Rennen 23'!$I$3:$I$26)</f>
        <v>0</v>
      </c>
      <c r="AC31" s="1">
        <f>SUMIF('Rennen 24'!$D$3:$D$26,Teamauswertung!$C31,'Rennen 24'!$I$3:$I$26)</f>
        <v>0</v>
      </c>
      <c r="AD31" s="1">
        <f>SUMIF('Rennen 25'!$D$3:$D$26,Teamauswertung!$C31,'Rennen 25'!$I$3:$I$26)</f>
        <v>0</v>
      </c>
      <c r="AE31" s="1">
        <f>SUMIF('Rennen 26'!$D$3:$D$26,Teamauswertung!$C31,'Rennen 26'!$I$3:$I$26)</f>
        <v>0</v>
      </c>
      <c r="AF31" s="1">
        <f>SUMIF('Rennen 27'!$D$3:$D$26,Teamauswertung!$C31,'Rennen 27'!$I$3:$I$26)</f>
        <v>0</v>
      </c>
      <c r="AG31" s="1">
        <f>SUMIF('Rennen 28'!$D$3:$D$26,Teamauswertung!$C31,'Rennen 28'!$I$3:$I$26)</f>
        <v>0</v>
      </c>
      <c r="AH31" s="1">
        <f>SUMIF('Rennen 29'!$D$3:$D$26,Teamauswertung!$C31,'Rennen 29'!$I$3:$I$26)</f>
        <v>0</v>
      </c>
      <c r="AI31" s="1">
        <f>SUMIF('Rennen 30'!$D$3:$D$26,Teamauswertung!$C31,'Rennen 30'!$I$3:$I$26)</f>
        <v>0</v>
      </c>
    </row>
    <row r="32" spans="2:35" x14ac:dyDescent="0.25">
      <c r="B32" s="12">
        <v>30</v>
      </c>
      <c r="C32" s="12"/>
      <c r="D32" s="12"/>
      <c r="E32" s="1">
        <f>SUM(F32:AI32)</f>
        <v>0</v>
      </c>
      <c r="F32" s="1">
        <f>SUMIF('Rennen 1'!$D$3:$D$26,Teamauswertung!$C32,'Rennen 1'!$I$3:$I$26)</f>
        <v>0</v>
      </c>
      <c r="G32" s="1">
        <f>SUMIF('Rennen 2'!$D$3:$D$26,Teamauswertung!$C32,'Rennen 2'!$I$3:$I$26)</f>
        <v>0</v>
      </c>
      <c r="H32" s="1">
        <f>SUMIF('Rennen 3'!$D$3:$D$26,Teamauswertung!$C32,'Rennen 3'!$I$3:$I$26)</f>
        <v>0</v>
      </c>
      <c r="I32" s="1">
        <f>SUMIF('Rennen 4'!$D$3:$D$26,Teamauswertung!$C32,'Rennen 4'!$I$3:$I$26)</f>
        <v>0</v>
      </c>
      <c r="J32" s="1">
        <f>SUMIF('Rennen 5'!$D$3:$D$26,Teamauswertung!$C32,'Rennen 5'!$I$3:$I$26)</f>
        <v>0</v>
      </c>
      <c r="K32" s="1">
        <f>SUMIF('Rennen 6'!$D$3:$D$26,Teamauswertung!$C32,'Rennen 6'!$I$3:$I$26)</f>
        <v>0</v>
      </c>
      <c r="L32" s="1">
        <f>SUMIF('Rennen 7'!$D$3:$D$26,Teamauswertung!$C32,'Rennen 7'!$I$3:$I$26)</f>
        <v>0</v>
      </c>
      <c r="M32" s="1">
        <f>SUMIF('Rennen 8'!$D$3:$D$26,Teamauswertung!$C32,'Rennen 8'!$I$3:$I$26)</f>
        <v>0</v>
      </c>
      <c r="N32" s="1">
        <f>SUMIF('Rennen 9'!$D$3:$D$26,Teamauswertung!$C32,'Rennen 9'!$I$3:$I$26)</f>
        <v>0</v>
      </c>
      <c r="O32" s="1">
        <f>SUMIF('Rennen 10'!$D$3:$D$26,Teamauswertung!$C32,'Rennen 10'!$I$3:$I$26)</f>
        <v>0</v>
      </c>
      <c r="P32" s="1">
        <f>SUMIF('Rennen 11'!$D$3:$D$26,Teamauswertung!$C32,'Rennen 11'!$I$3:$I$26)</f>
        <v>0</v>
      </c>
      <c r="Q32" s="1">
        <f>SUMIF('Rennen 12'!$D$3:$D$26,Teamauswertung!$C32,'Rennen 12'!$I$3:$I$26)</f>
        <v>0</v>
      </c>
      <c r="R32" s="1">
        <f>SUMIF('Rennen 13'!$D$3:$D$26,Teamauswertung!$C32,'Rennen 13'!$I$3:$I$26)</f>
        <v>0</v>
      </c>
      <c r="S32" s="1">
        <f>SUMIF('Rennen 14'!$D$3:$D$26,Teamauswertung!$C32,'Rennen 14'!$I$3:$I$26)</f>
        <v>0</v>
      </c>
      <c r="T32" s="1">
        <f>SUMIF('Rennen 15'!$D$3:$D$26,Teamauswertung!$C32,'Rennen 15'!$I$3:$I$26)</f>
        <v>0</v>
      </c>
      <c r="U32" s="1">
        <f>SUMIF('Rennen 16'!$D$3:$D$26,Teamauswertung!$C32,'Rennen 16'!$I$3:$I$26)</f>
        <v>0</v>
      </c>
      <c r="V32" s="1">
        <f>SUMIF('Rennen 17'!$D$3:$D$26,Teamauswertung!$C32,'Rennen 17'!$I$3:$I$26)</f>
        <v>0</v>
      </c>
      <c r="W32" s="1">
        <f>SUMIF('Rennen 18'!$D$3:$D$26,Teamauswertung!$C32,'Rennen 18'!$I$3:$I$26)</f>
        <v>0</v>
      </c>
      <c r="X32" s="1">
        <f>SUMIF('Rennen 19'!$D$3:$D$26,Teamauswertung!$C32,'Rennen 19'!$I$3:$I$26)</f>
        <v>0</v>
      </c>
      <c r="Y32" s="1">
        <f>SUMIF('Rennen 20'!$D$3:$D$26,Teamauswertung!$C32,'Rennen 20'!$I$3:$I$26)</f>
        <v>0</v>
      </c>
      <c r="Z32" s="1">
        <f>SUMIF('Rennen 21'!$D$3:$D$26,Teamauswertung!$C32,'Rennen 21'!$I$3:$I$26)</f>
        <v>0</v>
      </c>
      <c r="AA32" s="1">
        <f>SUMIF('Rennen 22'!$D$3:$D$26,Teamauswertung!$C32,'Rennen 22'!$I$3:$I$26)</f>
        <v>0</v>
      </c>
      <c r="AB32" s="1">
        <f>SUMIF('Rennen 23'!$D$3:$D$26,Teamauswertung!$C32,'Rennen 23'!$I$3:$I$26)</f>
        <v>0</v>
      </c>
      <c r="AC32" s="1">
        <f>SUMIF('Rennen 24'!$D$3:$D$26,Teamauswertung!$C32,'Rennen 24'!$I$3:$I$26)</f>
        <v>0</v>
      </c>
      <c r="AD32" s="1">
        <f>SUMIF('Rennen 25'!$D$3:$D$26,Teamauswertung!$C32,'Rennen 25'!$I$3:$I$26)</f>
        <v>0</v>
      </c>
      <c r="AE32" s="1">
        <f>SUMIF('Rennen 26'!$D$3:$D$26,Teamauswertung!$C32,'Rennen 26'!$I$3:$I$26)</f>
        <v>0</v>
      </c>
      <c r="AF32" s="1">
        <f>SUMIF('Rennen 27'!$D$3:$D$26,Teamauswertung!$C32,'Rennen 27'!$I$3:$I$26)</f>
        <v>0</v>
      </c>
      <c r="AG32" s="1">
        <f>SUMIF('Rennen 28'!$D$3:$D$26,Teamauswertung!$C32,'Rennen 28'!$I$3:$I$26)</f>
        <v>0</v>
      </c>
      <c r="AH32" s="1">
        <f>SUMIF('Rennen 29'!$D$3:$D$26,Teamauswertung!$C32,'Rennen 29'!$I$3:$I$26)</f>
        <v>0</v>
      </c>
      <c r="AI32" s="1">
        <f>SUMIF('Rennen 30'!$D$3:$D$26,Teamauswertung!$C32,'Rennen 30'!$I$3:$I$26)</f>
        <v>0</v>
      </c>
    </row>
  </sheetData>
  <sortState ref="C3:AI32">
    <sortCondition descending="1" ref="E3:E32"/>
  </sortState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B2:AI32"/>
  <sheetViews>
    <sheetView workbookViewId="0">
      <selection activeCell="C2" sqref="C2:AI32"/>
    </sheetView>
  </sheetViews>
  <sheetFormatPr baseColWidth="10" defaultRowHeight="15" x14ac:dyDescent="0.25"/>
  <cols>
    <col min="1" max="16384" width="11.42578125" style="1"/>
  </cols>
  <sheetData>
    <row r="2" spans="2:35" x14ac:dyDescent="0.25">
      <c r="B2" s="12" t="s">
        <v>0</v>
      </c>
      <c r="C2" s="12" t="s">
        <v>3</v>
      </c>
      <c r="D2" s="12" t="s">
        <v>1</v>
      </c>
      <c r="E2" s="12" t="s">
        <v>47</v>
      </c>
      <c r="F2" s="12" t="s">
        <v>14</v>
      </c>
      <c r="G2" s="12" t="s">
        <v>15</v>
      </c>
      <c r="H2" s="12" t="s">
        <v>16</v>
      </c>
      <c r="I2" s="12" t="s">
        <v>17</v>
      </c>
      <c r="J2" s="12" t="s">
        <v>18</v>
      </c>
      <c r="K2" s="12" t="s">
        <v>19</v>
      </c>
      <c r="L2" s="12" t="s">
        <v>20</v>
      </c>
      <c r="M2" s="12" t="s">
        <v>21</v>
      </c>
      <c r="N2" s="12" t="s">
        <v>22</v>
      </c>
      <c r="O2" s="12" t="s">
        <v>23</v>
      </c>
      <c r="P2" s="12" t="s">
        <v>27</v>
      </c>
      <c r="Q2" s="12" t="s">
        <v>28</v>
      </c>
      <c r="R2" s="12" t="s">
        <v>29</v>
      </c>
      <c r="S2" s="12" t="s">
        <v>30</v>
      </c>
      <c r="T2" s="12" t="s">
        <v>31</v>
      </c>
      <c r="U2" s="12" t="s">
        <v>32</v>
      </c>
      <c r="V2" s="12" t="s">
        <v>33</v>
      </c>
      <c r="W2" s="12" t="s">
        <v>34</v>
      </c>
      <c r="X2" s="12" t="s">
        <v>35</v>
      </c>
      <c r="Y2" s="12" t="s">
        <v>36</v>
      </c>
      <c r="Z2" s="12" t="s">
        <v>37</v>
      </c>
      <c r="AA2" s="12" t="s">
        <v>38</v>
      </c>
      <c r="AB2" s="12" t="s">
        <v>39</v>
      </c>
      <c r="AC2" s="12" t="s">
        <v>40</v>
      </c>
      <c r="AD2" s="12" t="s">
        <v>41</v>
      </c>
      <c r="AE2" s="12" t="s">
        <v>42</v>
      </c>
      <c r="AF2" s="12" t="s">
        <v>43</v>
      </c>
      <c r="AG2" s="12" t="s">
        <v>44</v>
      </c>
      <c r="AH2" s="12" t="s">
        <v>45</v>
      </c>
      <c r="AI2" s="12" t="s">
        <v>46</v>
      </c>
    </row>
    <row r="3" spans="2:35" x14ac:dyDescent="0.25">
      <c r="B3" s="12">
        <v>1</v>
      </c>
      <c r="C3" s="12" t="s">
        <v>78</v>
      </c>
      <c r="D3" s="12"/>
      <c r="E3" s="1">
        <f>SUM(F3:AI3)</f>
        <v>2720</v>
      </c>
      <c r="F3" s="1">
        <f>SUMIF('Rennen 1'!$D$3:$D$26,Teamauswertung!$C3,'Rennen 1'!$I$3:$I$26)</f>
        <v>134</v>
      </c>
      <c r="G3" s="1">
        <f>SUMIF('Rennen 2'!$D$3:$D$26,Teamauswertung!$C3,'Rennen 2'!$I$3:$I$26)</f>
        <v>134</v>
      </c>
      <c r="H3" s="1">
        <f>SUMIF('Rennen 3'!$D$3:$D$26,Teamauswertung!$C3,'Rennen 3'!$I$3:$I$26)</f>
        <v>134</v>
      </c>
      <c r="I3" s="1">
        <f>SUMIF('Rennen 4'!$D$3:$D$26,Teamauswertung!$C3,'Rennen 4'!$I$3:$I$26)</f>
        <v>134</v>
      </c>
      <c r="J3" s="1">
        <f>SUMIF('Rennen 5'!$D$3:$D$26,Teamauswertung!$C3,'Rennen 5'!$I$3:$I$26)</f>
        <v>119</v>
      </c>
      <c r="K3" s="1">
        <f>SUMIF('Rennen 6'!$D$3:$D$26,Teamauswertung!$C3,'Rennen 6'!$I$3:$I$26)</f>
        <v>119</v>
      </c>
      <c r="L3" s="1">
        <f>SUMIF('Rennen 7'!$D$3:$D$26,Teamauswertung!$C3,'Rennen 7'!$I$3:$I$26)</f>
        <v>125</v>
      </c>
      <c r="M3" s="1">
        <f>SUMIF('Rennen 8'!$D$3:$D$26,Teamauswertung!$C3,'Rennen 8'!$I$3:$I$26)</f>
        <v>125</v>
      </c>
      <c r="N3" s="1">
        <f>SUMIF('Rennen 9'!$D$3:$D$26,Teamauswertung!$C3,'Rennen 9'!$I$3:$I$26)</f>
        <v>119</v>
      </c>
      <c r="O3" s="1">
        <f>SUMIF('Rennen 10'!$D$3:$D$26,Teamauswertung!$C3,'Rennen 10'!$I$3:$I$26)</f>
        <v>119</v>
      </c>
      <c r="P3" s="1">
        <f>SUMIF('Rennen 11'!$D$3:$D$26,Teamauswertung!$C3,'Rennen 11'!$I$3:$I$26)</f>
        <v>125</v>
      </c>
      <c r="Q3" s="1">
        <f>SUMIF('Rennen 12'!$D$3:$D$26,Teamauswertung!$C3,'Rennen 12'!$I$3:$I$26)</f>
        <v>125</v>
      </c>
      <c r="R3" s="1">
        <f>SUMIF('Rennen 13'!$D$3:$D$26,Teamauswertung!$C3,'Rennen 13'!$I$3:$I$26)</f>
        <v>119</v>
      </c>
      <c r="S3" s="1">
        <f>SUMIF('Rennen 14'!$D$3:$D$26,Teamauswertung!$C3,'Rennen 14'!$I$3:$I$26)</f>
        <v>119</v>
      </c>
      <c r="T3" s="1">
        <f>SUMIF('Rennen 15'!$D$3:$D$26,Teamauswertung!$C3,'Rennen 15'!$I$3:$I$26)</f>
        <v>95</v>
      </c>
      <c r="U3" s="1">
        <f>SUMIF('Rennen 16'!$D$3:$D$26,Teamauswertung!$C3,'Rennen 16'!$I$3:$I$26)</f>
        <v>95</v>
      </c>
      <c r="V3" s="1">
        <f>SUMIF('Rennen 17'!$D$3:$D$26,Teamauswertung!$C3,'Rennen 17'!$I$3:$I$26)</f>
        <v>112</v>
      </c>
      <c r="W3" s="1">
        <f>SUMIF('Rennen 18'!$D$3:$D$26,Teamauswertung!$C3,'Rennen 18'!$I$3:$I$26)</f>
        <v>112</v>
      </c>
      <c r="X3" s="1">
        <f>SUMIF('Rennen 19'!$D$3:$D$26,Teamauswertung!$C3,'Rennen 19'!$I$3:$I$26)</f>
        <v>139</v>
      </c>
      <c r="Y3" s="1">
        <f>SUMIF('Rennen 20'!$D$3:$D$26,Teamauswertung!$C3,'Rennen 20'!$I$3:$I$26)</f>
        <v>139</v>
      </c>
      <c r="Z3" s="1">
        <f>SUMIF('Rennen 21'!$D$3:$D$26,Teamauswertung!$C3,'Rennen 21'!$I$3:$I$26)</f>
        <v>139</v>
      </c>
      <c r="AA3" s="1">
        <f>SUMIF('Rennen 22'!$D$3:$D$26,Teamauswertung!$C3,'Rennen 22'!$I$3:$I$26)</f>
        <v>139</v>
      </c>
      <c r="AB3" s="1">
        <f>SUMIF('Rennen 23'!$D$3:$D$26,Teamauswertung!$C3,'Rennen 23'!$I$3:$I$26)</f>
        <v>0</v>
      </c>
      <c r="AC3" s="1">
        <f>SUMIF('Rennen 24'!$D$3:$D$26,Teamauswertung!$C3,'Rennen 24'!$I$3:$I$26)</f>
        <v>0</v>
      </c>
      <c r="AD3" s="1">
        <f>SUMIF('Rennen 25'!$D$3:$D$26,Teamauswertung!$C3,'Rennen 25'!$I$3:$I$26)</f>
        <v>0</v>
      </c>
      <c r="AE3" s="1">
        <f>SUMIF('Rennen 26'!$D$3:$D$26,Teamauswertung!$C3,'Rennen 26'!$I$3:$I$26)</f>
        <v>0</v>
      </c>
      <c r="AF3" s="1">
        <f>SUMIF('Rennen 27'!$D$3:$D$26,Teamauswertung!$C3,'Rennen 27'!$I$3:$I$26)</f>
        <v>0</v>
      </c>
      <c r="AG3" s="1">
        <f>SUMIF('Rennen 28'!$D$3:$D$26,Teamauswertung!$C3,'Rennen 28'!$I$3:$I$26)</f>
        <v>0</v>
      </c>
      <c r="AH3" s="1">
        <f>SUMIF('Rennen 29'!$D$3:$D$26,Teamauswertung!$C3,'Rennen 29'!$I$3:$I$26)</f>
        <v>0</v>
      </c>
      <c r="AI3" s="1">
        <f>SUMIF('Rennen 30'!$D$3:$D$26,Teamauswertung!$C3,'Rennen 30'!$I$3:$I$26)</f>
        <v>0</v>
      </c>
    </row>
    <row r="4" spans="2:35" x14ac:dyDescent="0.25">
      <c r="B4" s="12">
        <v>2</v>
      </c>
      <c r="C4" s="12"/>
      <c r="D4" s="12"/>
      <c r="E4" s="1">
        <f t="shared" ref="E4:E32" si="0">SUM(F4:AI4)</f>
        <v>0</v>
      </c>
      <c r="F4" s="1">
        <f>SUMIF('Rennen 1'!$D$3:$D$26,Teamauswertung!$C4,'Rennen 1'!$I$3:$I$26)</f>
        <v>0</v>
      </c>
      <c r="G4" s="1">
        <f>SUMIF('Rennen 2'!$D$3:$D$26,Teamauswertung!$C4,'Rennen 2'!$I$3:$I$26)</f>
        <v>0</v>
      </c>
      <c r="H4" s="1">
        <f>SUMIF('Rennen 3'!$D$3:$D$26,Teamauswertung!$C4,'Rennen 3'!$I$3:$I$26)</f>
        <v>0</v>
      </c>
      <c r="I4" s="1">
        <f>SUMIF('Rennen 4'!$D$3:$D$26,Teamauswertung!$C4,'Rennen 4'!$I$3:$I$26)</f>
        <v>0</v>
      </c>
      <c r="J4" s="1">
        <f>SUMIF('Rennen 5'!$D$3:$D$26,Teamauswertung!$C4,'Rennen 5'!$I$3:$I$26)</f>
        <v>0</v>
      </c>
      <c r="K4" s="1">
        <f>SUMIF('Rennen 6'!$D$3:$D$26,Teamauswertung!$C4,'Rennen 6'!$I$3:$I$26)</f>
        <v>0</v>
      </c>
      <c r="L4" s="1">
        <f>SUMIF('Rennen 7'!$D$3:$D$26,Teamauswertung!$C4,'Rennen 7'!$I$3:$I$26)</f>
        <v>0</v>
      </c>
      <c r="M4" s="1">
        <f>SUMIF('Rennen 8'!$D$3:$D$26,Teamauswertung!$C4,'Rennen 8'!$I$3:$I$26)</f>
        <v>0</v>
      </c>
      <c r="N4" s="1">
        <f>SUMIF('Rennen 9'!$D$3:$D$26,Teamauswertung!$C4,'Rennen 9'!$I$3:$I$26)</f>
        <v>0</v>
      </c>
      <c r="O4" s="1">
        <f>SUMIF('Rennen 10'!$D$3:$D$26,Teamauswertung!$C4,'Rennen 10'!$I$3:$I$26)</f>
        <v>0</v>
      </c>
      <c r="P4" s="1">
        <f>SUMIF('Rennen 11'!$D$3:$D$26,Teamauswertung!$C4,'Rennen 11'!$I$3:$I$26)</f>
        <v>0</v>
      </c>
      <c r="Q4" s="1">
        <f>SUMIF('Rennen 12'!$D$3:$D$26,Teamauswertung!$C4,'Rennen 12'!$I$3:$I$26)</f>
        <v>0</v>
      </c>
      <c r="R4" s="1">
        <f>SUMIF('Rennen 13'!$D$3:$D$26,Teamauswertung!$C4,'Rennen 13'!$I$3:$I$26)</f>
        <v>0</v>
      </c>
      <c r="S4" s="1">
        <f>SUMIF('Rennen 14'!$D$3:$D$26,Teamauswertung!$C4,'Rennen 14'!$I$3:$I$26)</f>
        <v>0</v>
      </c>
      <c r="T4" s="1">
        <f>SUMIF('Rennen 15'!$D$3:$D$26,Teamauswertung!$C4,'Rennen 15'!$I$3:$I$26)</f>
        <v>0</v>
      </c>
      <c r="U4" s="1">
        <f>SUMIF('Rennen 16'!$D$3:$D$26,Teamauswertung!$C4,'Rennen 16'!$I$3:$I$26)</f>
        <v>0</v>
      </c>
      <c r="V4" s="1">
        <f>SUMIF('Rennen 17'!$D$3:$D$26,Teamauswertung!$C4,'Rennen 17'!$I$3:$I$26)</f>
        <v>0</v>
      </c>
      <c r="W4" s="1">
        <f>SUMIF('Rennen 18'!$D$3:$D$26,Teamauswertung!$C4,'Rennen 18'!$I$3:$I$26)</f>
        <v>0</v>
      </c>
      <c r="X4" s="1">
        <f>SUMIF('Rennen 19'!$D$3:$D$26,Teamauswertung!$C4,'Rennen 19'!$I$3:$I$26)</f>
        <v>0</v>
      </c>
      <c r="Y4" s="1">
        <f>SUMIF('Rennen 20'!$D$3:$D$26,Teamauswertung!$C4,'Rennen 20'!$I$3:$I$26)</f>
        <v>0</v>
      </c>
      <c r="Z4" s="1">
        <f>SUMIF('Rennen 21'!$D$3:$D$26,Teamauswertung!$C4,'Rennen 21'!$I$3:$I$26)</f>
        <v>0</v>
      </c>
      <c r="AA4" s="1">
        <f>SUMIF('Rennen 22'!$D$3:$D$26,Teamauswertung!$C4,'Rennen 22'!$I$3:$I$26)</f>
        <v>0</v>
      </c>
      <c r="AB4" s="1">
        <f>SUMIF('Rennen 23'!$D$3:$D$26,Teamauswertung!$C4,'Rennen 23'!$I$3:$I$26)</f>
        <v>0</v>
      </c>
      <c r="AC4" s="1">
        <f>SUMIF('Rennen 24'!$D$3:$D$26,Teamauswertung!$C4,'Rennen 24'!$I$3:$I$26)</f>
        <v>0</v>
      </c>
      <c r="AD4" s="1">
        <f>SUMIF('Rennen 25'!$D$3:$D$26,Teamauswertung!$C4,'Rennen 25'!$I$3:$I$26)</f>
        <v>0</v>
      </c>
      <c r="AE4" s="1">
        <f>SUMIF('Rennen 26'!$D$3:$D$26,Teamauswertung!$C4,'Rennen 26'!$I$3:$I$26)</f>
        <v>0</v>
      </c>
      <c r="AF4" s="1">
        <f>SUMIF('Rennen 27'!$D$3:$D$26,Teamauswertung!$C4,'Rennen 27'!$I$3:$I$26)</f>
        <v>0</v>
      </c>
      <c r="AG4" s="1">
        <f>SUMIF('Rennen 28'!$D$3:$D$26,Teamauswertung!$C4,'Rennen 28'!$I$3:$I$26)</f>
        <v>0</v>
      </c>
      <c r="AH4" s="1">
        <f>SUMIF('Rennen 29'!$D$3:$D$26,Teamauswertung!$C4,'Rennen 29'!$I$3:$I$26)</f>
        <v>0</v>
      </c>
      <c r="AI4" s="1">
        <f>SUMIF('Rennen 30'!$D$3:$D$26,Teamauswertung!$C4,'Rennen 30'!$I$3:$I$26)</f>
        <v>0</v>
      </c>
    </row>
    <row r="5" spans="2:35" x14ac:dyDescent="0.25">
      <c r="B5" s="12">
        <v>3</v>
      </c>
      <c r="C5" s="12"/>
      <c r="D5" s="12"/>
      <c r="E5" s="1">
        <f t="shared" si="0"/>
        <v>0</v>
      </c>
      <c r="F5" s="1">
        <f>SUMIF('Rennen 1'!$D$3:$D$26,Teamauswertung!$C5,'Rennen 1'!$I$3:$I$26)</f>
        <v>0</v>
      </c>
      <c r="G5" s="1">
        <f>SUMIF('Rennen 2'!$D$3:$D$26,Teamauswertung!$C5,'Rennen 2'!$I$3:$I$26)</f>
        <v>0</v>
      </c>
      <c r="H5" s="1">
        <f>SUMIF('Rennen 3'!$D$3:$D$26,Teamauswertung!$C5,'Rennen 3'!$I$3:$I$26)</f>
        <v>0</v>
      </c>
      <c r="I5" s="1">
        <f>SUMIF('Rennen 4'!$D$3:$D$26,Teamauswertung!$C5,'Rennen 4'!$I$3:$I$26)</f>
        <v>0</v>
      </c>
      <c r="J5" s="1">
        <f>SUMIF('Rennen 5'!$D$3:$D$26,Teamauswertung!$C5,'Rennen 5'!$I$3:$I$26)</f>
        <v>0</v>
      </c>
      <c r="K5" s="1">
        <f>SUMIF('Rennen 6'!$D$3:$D$26,Teamauswertung!$C5,'Rennen 6'!$I$3:$I$26)</f>
        <v>0</v>
      </c>
      <c r="L5" s="1">
        <f>SUMIF('Rennen 7'!$D$3:$D$26,Teamauswertung!$C5,'Rennen 7'!$I$3:$I$26)</f>
        <v>0</v>
      </c>
      <c r="M5" s="1">
        <f>SUMIF('Rennen 8'!$D$3:$D$26,Teamauswertung!$C5,'Rennen 8'!$I$3:$I$26)</f>
        <v>0</v>
      </c>
      <c r="N5" s="1">
        <f>SUMIF('Rennen 9'!$D$3:$D$26,Teamauswertung!$C5,'Rennen 9'!$I$3:$I$26)</f>
        <v>0</v>
      </c>
      <c r="O5" s="1">
        <f>SUMIF('Rennen 10'!$D$3:$D$26,Teamauswertung!$C5,'Rennen 10'!$I$3:$I$26)</f>
        <v>0</v>
      </c>
      <c r="P5" s="1">
        <f>SUMIF('Rennen 11'!$D$3:$D$26,Teamauswertung!$C5,'Rennen 11'!$I$3:$I$26)</f>
        <v>0</v>
      </c>
      <c r="Q5" s="1">
        <f>SUMIF('Rennen 12'!$D$3:$D$26,Teamauswertung!$C5,'Rennen 12'!$I$3:$I$26)</f>
        <v>0</v>
      </c>
      <c r="R5" s="1">
        <f>SUMIF('Rennen 13'!$D$3:$D$26,Teamauswertung!$C5,'Rennen 13'!$I$3:$I$26)</f>
        <v>0</v>
      </c>
      <c r="S5" s="1">
        <f>SUMIF('Rennen 14'!$D$3:$D$26,Teamauswertung!$C5,'Rennen 14'!$I$3:$I$26)</f>
        <v>0</v>
      </c>
      <c r="T5" s="1">
        <f>SUMIF('Rennen 15'!$D$3:$D$26,Teamauswertung!$C5,'Rennen 15'!$I$3:$I$26)</f>
        <v>0</v>
      </c>
      <c r="U5" s="1">
        <f>SUMIF('Rennen 16'!$D$3:$D$26,Teamauswertung!$C5,'Rennen 16'!$I$3:$I$26)</f>
        <v>0</v>
      </c>
      <c r="V5" s="1">
        <f>SUMIF('Rennen 17'!$D$3:$D$26,Teamauswertung!$C5,'Rennen 17'!$I$3:$I$26)</f>
        <v>0</v>
      </c>
      <c r="W5" s="1">
        <f>SUMIF('Rennen 18'!$D$3:$D$26,Teamauswertung!$C5,'Rennen 18'!$I$3:$I$26)</f>
        <v>0</v>
      </c>
      <c r="X5" s="1">
        <f>SUMIF('Rennen 19'!$D$3:$D$26,Teamauswertung!$C5,'Rennen 19'!$I$3:$I$26)</f>
        <v>0</v>
      </c>
      <c r="Y5" s="1">
        <f>SUMIF('Rennen 20'!$D$3:$D$26,Teamauswertung!$C5,'Rennen 20'!$I$3:$I$26)</f>
        <v>0</v>
      </c>
      <c r="Z5" s="1">
        <f>SUMIF('Rennen 21'!$D$3:$D$26,Teamauswertung!$C5,'Rennen 21'!$I$3:$I$26)</f>
        <v>0</v>
      </c>
      <c r="AA5" s="1">
        <f>SUMIF('Rennen 22'!$D$3:$D$26,Teamauswertung!$C5,'Rennen 22'!$I$3:$I$26)</f>
        <v>0</v>
      </c>
      <c r="AB5" s="1">
        <f>SUMIF('Rennen 23'!$D$3:$D$26,Teamauswertung!$C5,'Rennen 23'!$I$3:$I$26)</f>
        <v>0</v>
      </c>
      <c r="AC5" s="1">
        <f>SUMIF('Rennen 24'!$D$3:$D$26,Teamauswertung!$C5,'Rennen 24'!$I$3:$I$26)</f>
        <v>0</v>
      </c>
      <c r="AD5" s="1">
        <f>SUMIF('Rennen 25'!$D$3:$D$26,Teamauswertung!$C5,'Rennen 25'!$I$3:$I$26)</f>
        <v>0</v>
      </c>
      <c r="AE5" s="1">
        <f>SUMIF('Rennen 26'!$D$3:$D$26,Teamauswertung!$C5,'Rennen 26'!$I$3:$I$26)</f>
        <v>0</v>
      </c>
      <c r="AF5" s="1">
        <f>SUMIF('Rennen 27'!$D$3:$D$26,Teamauswertung!$C5,'Rennen 27'!$I$3:$I$26)</f>
        <v>0</v>
      </c>
      <c r="AG5" s="1">
        <f>SUMIF('Rennen 28'!$D$3:$D$26,Teamauswertung!$C5,'Rennen 28'!$I$3:$I$26)</f>
        <v>0</v>
      </c>
      <c r="AH5" s="1">
        <f>SUMIF('Rennen 29'!$D$3:$D$26,Teamauswertung!$C5,'Rennen 29'!$I$3:$I$26)</f>
        <v>0</v>
      </c>
      <c r="AI5" s="1">
        <f>SUMIF('Rennen 30'!$D$3:$D$26,Teamauswertung!$C5,'Rennen 30'!$I$3:$I$26)</f>
        <v>0</v>
      </c>
    </row>
    <row r="6" spans="2:35" x14ac:dyDescent="0.25">
      <c r="B6" s="12">
        <v>4</v>
      </c>
      <c r="C6" s="12"/>
      <c r="D6" s="12"/>
      <c r="E6" s="1">
        <f t="shared" si="0"/>
        <v>0</v>
      </c>
      <c r="F6" s="1">
        <f>SUMIF('Rennen 1'!$D$3:$D$26,Teamauswertung!$C6,'Rennen 1'!$I$3:$I$26)</f>
        <v>0</v>
      </c>
      <c r="G6" s="1">
        <f>SUMIF('Rennen 2'!$D$3:$D$26,Teamauswertung!$C6,'Rennen 2'!$I$3:$I$26)</f>
        <v>0</v>
      </c>
      <c r="H6" s="1">
        <f>SUMIF('Rennen 3'!$D$3:$D$26,Teamauswertung!$C6,'Rennen 3'!$I$3:$I$26)</f>
        <v>0</v>
      </c>
      <c r="I6" s="1">
        <f>SUMIF('Rennen 4'!$D$3:$D$26,Teamauswertung!$C6,'Rennen 4'!$I$3:$I$26)</f>
        <v>0</v>
      </c>
      <c r="J6" s="1">
        <f>SUMIF('Rennen 5'!$D$3:$D$26,Teamauswertung!$C6,'Rennen 5'!$I$3:$I$26)</f>
        <v>0</v>
      </c>
      <c r="K6" s="1">
        <f>SUMIF('Rennen 6'!$D$3:$D$26,Teamauswertung!$C6,'Rennen 6'!$I$3:$I$26)</f>
        <v>0</v>
      </c>
      <c r="L6" s="1">
        <f>SUMIF('Rennen 7'!$D$3:$D$26,Teamauswertung!$C6,'Rennen 7'!$I$3:$I$26)</f>
        <v>0</v>
      </c>
      <c r="M6" s="1">
        <f>SUMIF('Rennen 8'!$D$3:$D$26,Teamauswertung!$C6,'Rennen 8'!$I$3:$I$26)</f>
        <v>0</v>
      </c>
      <c r="N6" s="1">
        <f>SUMIF('Rennen 9'!$D$3:$D$26,Teamauswertung!$C6,'Rennen 9'!$I$3:$I$26)</f>
        <v>0</v>
      </c>
      <c r="O6" s="1">
        <f>SUMIF('Rennen 10'!$D$3:$D$26,Teamauswertung!$C6,'Rennen 10'!$I$3:$I$26)</f>
        <v>0</v>
      </c>
      <c r="P6" s="1">
        <f>SUMIF('Rennen 11'!$D$3:$D$26,Teamauswertung!$C6,'Rennen 11'!$I$3:$I$26)</f>
        <v>0</v>
      </c>
      <c r="Q6" s="1">
        <f>SUMIF('Rennen 12'!$D$3:$D$26,Teamauswertung!$C6,'Rennen 12'!$I$3:$I$26)</f>
        <v>0</v>
      </c>
      <c r="R6" s="1">
        <f>SUMIF('Rennen 13'!$D$3:$D$26,Teamauswertung!$C6,'Rennen 13'!$I$3:$I$26)</f>
        <v>0</v>
      </c>
      <c r="S6" s="1">
        <f>SUMIF('Rennen 14'!$D$3:$D$26,Teamauswertung!$C6,'Rennen 14'!$I$3:$I$26)</f>
        <v>0</v>
      </c>
      <c r="T6" s="1">
        <f>SUMIF('Rennen 15'!$D$3:$D$26,Teamauswertung!$C6,'Rennen 15'!$I$3:$I$26)</f>
        <v>0</v>
      </c>
      <c r="U6" s="1">
        <f>SUMIF('Rennen 16'!$D$3:$D$26,Teamauswertung!$C6,'Rennen 16'!$I$3:$I$26)</f>
        <v>0</v>
      </c>
      <c r="V6" s="1">
        <f>SUMIF('Rennen 17'!$D$3:$D$26,Teamauswertung!$C6,'Rennen 17'!$I$3:$I$26)</f>
        <v>0</v>
      </c>
      <c r="W6" s="1">
        <f>SUMIF('Rennen 18'!$D$3:$D$26,Teamauswertung!$C6,'Rennen 18'!$I$3:$I$26)</f>
        <v>0</v>
      </c>
      <c r="X6" s="1">
        <f>SUMIF('Rennen 19'!$D$3:$D$26,Teamauswertung!$C6,'Rennen 19'!$I$3:$I$26)</f>
        <v>0</v>
      </c>
      <c r="Y6" s="1">
        <f>SUMIF('Rennen 20'!$D$3:$D$26,Teamauswertung!$C6,'Rennen 20'!$I$3:$I$26)</f>
        <v>0</v>
      </c>
      <c r="Z6" s="1">
        <f>SUMIF('Rennen 21'!$D$3:$D$26,Teamauswertung!$C6,'Rennen 21'!$I$3:$I$26)</f>
        <v>0</v>
      </c>
      <c r="AA6" s="1">
        <f>SUMIF('Rennen 22'!$D$3:$D$26,Teamauswertung!$C6,'Rennen 22'!$I$3:$I$26)</f>
        <v>0</v>
      </c>
      <c r="AB6" s="1">
        <f>SUMIF('Rennen 23'!$D$3:$D$26,Teamauswertung!$C6,'Rennen 23'!$I$3:$I$26)</f>
        <v>0</v>
      </c>
      <c r="AC6" s="1">
        <f>SUMIF('Rennen 24'!$D$3:$D$26,Teamauswertung!$C6,'Rennen 24'!$I$3:$I$26)</f>
        <v>0</v>
      </c>
      <c r="AD6" s="1">
        <f>SUMIF('Rennen 25'!$D$3:$D$26,Teamauswertung!$C6,'Rennen 25'!$I$3:$I$26)</f>
        <v>0</v>
      </c>
      <c r="AE6" s="1">
        <f>SUMIF('Rennen 26'!$D$3:$D$26,Teamauswertung!$C6,'Rennen 26'!$I$3:$I$26)</f>
        <v>0</v>
      </c>
      <c r="AF6" s="1">
        <f>SUMIF('Rennen 27'!$D$3:$D$26,Teamauswertung!$C6,'Rennen 27'!$I$3:$I$26)</f>
        <v>0</v>
      </c>
      <c r="AG6" s="1">
        <f>SUMIF('Rennen 28'!$D$3:$D$26,Teamauswertung!$C6,'Rennen 28'!$I$3:$I$26)</f>
        <v>0</v>
      </c>
      <c r="AH6" s="1">
        <f>SUMIF('Rennen 29'!$D$3:$D$26,Teamauswertung!$C6,'Rennen 29'!$I$3:$I$26)</f>
        <v>0</v>
      </c>
      <c r="AI6" s="1">
        <f>SUMIF('Rennen 30'!$D$3:$D$26,Teamauswertung!$C6,'Rennen 30'!$I$3:$I$26)</f>
        <v>0</v>
      </c>
    </row>
    <row r="7" spans="2:35" x14ac:dyDescent="0.25">
      <c r="B7" s="12">
        <v>5</v>
      </c>
      <c r="C7" s="12"/>
      <c r="D7" s="12"/>
      <c r="E7" s="1">
        <f t="shared" si="0"/>
        <v>0</v>
      </c>
      <c r="F7" s="1">
        <f>SUMIF('Rennen 1'!$D$3:$D$26,Teamauswertung!$C7,'Rennen 1'!$I$3:$I$26)</f>
        <v>0</v>
      </c>
      <c r="G7" s="1">
        <f>SUMIF('Rennen 2'!$D$3:$D$26,Teamauswertung!$C7,'Rennen 2'!$I$3:$I$26)</f>
        <v>0</v>
      </c>
      <c r="H7" s="1">
        <f>SUMIF('Rennen 3'!$D$3:$D$26,Teamauswertung!$C7,'Rennen 3'!$I$3:$I$26)</f>
        <v>0</v>
      </c>
      <c r="I7" s="1">
        <f>SUMIF('Rennen 4'!$D$3:$D$26,Teamauswertung!$C7,'Rennen 4'!$I$3:$I$26)</f>
        <v>0</v>
      </c>
      <c r="J7" s="1">
        <f>SUMIF('Rennen 5'!$D$3:$D$26,Teamauswertung!$C7,'Rennen 5'!$I$3:$I$26)</f>
        <v>0</v>
      </c>
      <c r="K7" s="1">
        <f>SUMIF('Rennen 6'!$D$3:$D$26,Teamauswertung!$C7,'Rennen 6'!$I$3:$I$26)</f>
        <v>0</v>
      </c>
      <c r="L7" s="1">
        <f>SUMIF('Rennen 7'!$D$3:$D$26,Teamauswertung!$C7,'Rennen 7'!$I$3:$I$26)</f>
        <v>0</v>
      </c>
      <c r="M7" s="1">
        <f>SUMIF('Rennen 8'!$D$3:$D$26,Teamauswertung!$C7,'Rennen 8'!$I$3:$I$26)</f>
        <v>0</v>
      </c>
      <c r="N7" s="1">
        <f>SUMIF('Rennen 9'!$D$3:$D$26,Teamauswertung!$C7,'Rennen 9'!$I$3:$I$26)</f>
        <v>0</v>
      </c>
      <c r="O7" s="1">
        <f>SUMIF('Rennen 10'!$D$3:$D$26,Teamauswertung!$C7,'Rennen 10'!$I$3:$I$26)</f>
        <v>0</v>
      </c>
      <c r="P7" s="1">
        <f>SUMIF('Rennen 11'!$D$3:$D$26,Teamauswertung!$C7,'Rennen 11'!$I$3:$I$26)</f>
        <v>0</v>
      </c>
      <c r="Q7" s="1">
        <f>SUMIF('Rennen 12'!$D$3:$D$26,Teamauswertung!$C7,'Rennen 12'!$I$3:$I$26)</f>
        <v>0</v>
      </c>
      <c r="R7" s="1">
        <f>SUMIF('Rennen 13'!$D$3:$D$26,Teamauswertung!$C7,'Rennen 13'!$I$3:$I$26)</f>
        <v>0</v>
      </c>
      <c r="S7" s="1">
        <f>SUMIF('Rennen 14'!$D$3:$D$26,Teamauswertung!$C7,'Rennen 14'!$I$3:$I$26)</f>
        <v>0</v>
      </c>
      <c r="T7" s="1">
        <f>SUMIF('Rennen 15'!$D$3:$D$26,Teamauswertung!$C7,'Rennen 15'!$I$3:$I$26)</f>
        <v>0</v>
      </c>
      <c r="U7" s="1">
        <f>SUMIF('Rennen 16'!$D$3:$D$26,Teamauswertung!$C7,'Rennen 16'!$I$3:$I$26)</f>
        <v>0</v>
      </c>
      <c r="V7" s="1">
        <f>SUMIF('Rennen 17'!$D$3:$D$26,Teamauswertung!$C7,'Rennen 17'!$I$3:$I$26)</f>
        <v>0</v>
      </c>
      <c r="W7" s="1">
        <f>SUMIF('Rennen 18'!$D$3:$D$26,Teamauswertung!$C7,'Rennen 18'!$I$3:$I$26)</f>
        <v>0</v>
      </c>
      <c r="X7" s="1">
        <f>SUMIF('Rennen 19'!$D$3:$D$26,Teamauswertung!$C7,'Rennen 19'!$I$3:$I$26)</f>
        <v>0</v>
      </c>
      <c r="Y7" s="1">
        <f>SUMIF('Rennen 20'!$D$3:$D$26,Teamauswertung!$C7,'Rennen 20'!$I$3:$I$26)</f>
        <v>0</v>
      </c>
      <c r="Z7" s="1">
        <f>SUMIF('Rennen 21'!$D$3:$D$26,Teamauswertung!$C7,'Rennen 21'!$I$3:$I$26)</f>
        <v>0</v>
      </c>
      <c r="AA7" s="1">
        <f>SUMIF('Rennen 22'!$D$3:$D$26,Teamauswertung!$C7,'Rennen 22'!$I$3:$I$26)</f>
        <v>0</v>
      </c>
      <c r="AB7" s="1">
        <f>SUMIF('Rennen 23'!$D$3:$D$26,Teamauswertung!$C7,'Rennen 23'!$I$3:$I$26)</f>
        <v>0</v>
      </c>
      <c r="AC7" s="1">
        <f>SUMIF('Rennen 24'!$D$3:$D$26,Teamauswertung!$C7,'Rennen 24'!$I$3:$I$26)</f>
        <v>0</v>
      </c>
      <c r="AD7" s="1">
        <f>SUMIF('Rennen 25'!$D$3:$D$26,Teamauswertung!$C7,'Rennen 25'!$I$3:$I$26)</f>
        <v>0</v>
      </c>
      <c r="AE7" s="1">
        <f>SUMIF('Rennen 26'!$D$3:$D$26,Teamauswertung!$C7,'Rennen 26'!$I$3:$I$26)</f>
        <v>0</v>
      </c>
      <c r="AF7" s="1">
        <f>SUMIF('Rennen 27'!$D$3:$D$26,Teamauswertung!$C7,'Rennen 27'!$I$3:$I$26)</f>
        <v>0</v>
      </c>
      <c r="AG7" s="1">
        <f>SUMIF('Rennen 28'!$D$3:$D$26,Teamauswertung!$C7,'Rennen 28'!$I$3:$I$26)</f>
        <v>0</v>
      </c>
      <c r="AH7" s="1">
        <f>SUMIF('Rennen 29'!$D$3:$D$26,Teamauswertung!$C7,'Rennen 29'!$I$3:$I$26)</f>
        <v>0</v>
      </c>
      <c r="AI7" s="1">
        <f>SUMIF('Rennen 30'!$D$3:$D$26,Teamauswertung!$C7,'Rennen 30'!$I$3:$I$26)</f>
        <v>0</v>
      </c>
    </row>
    <row r="8" spans="2:35" x14ac:dyDescent="0.25">
      <c r="B8" s="12">
        <v>6</v>
      </c>
      <c r="C8" s="12"/>
      <c r="D8" s="12"/>
      <c r="E8" s="1">
        <f t="shared" si="0"/>
        <v>0</v>
      </c>
      <c r="F8" s="1">
        <f>SUMIF('Rennen 1'!$D$3:$D$26,Teamauswertung!$C8,'Rennen 1'!$I$3:$I$26)</f>
        <v>0</v>
      </c>
      <c r="G8" s="1">
        <f>SUMIF('Rennen 2'!$D$3:$D$26,Teamauswertung!$C8,'Rennen 2'!$I$3:$I$26)</f>
        <v>0</v>
      </c>
      <c r="H8" s="1">
        <f>SUMIF('Rennen 3'!$D$3:$D$26,Teamauswertung!$C8,'Rennen 3'!$I$3:$I$26)</f>
        <v>0</v>
      </c>
      <c r="I8" s="1">
        <f>SUMIF('Rennen 4'!$D$3:$D$26,Teamauswertung!$C8,'Rennen 4'!$I$3:$I$26)</f>
        <v>0</v>
      </c>
      <c r="J8" s="1">
        <f>SUMIF('Rennen 5'!$D$3:$D$26,Teamauswertung!$C8,'Rennen 5'!$I$3:$I$26)</f>
        <v>0</v>
      </c>
      <c r="K8" s="1">
        <f>SUMIF('Rennen 6'!$D$3:$D$26,Teamauswertung!$C8,'Rennen 6'!$I$3:$I$26)</f>
        <v>0</v>
      </c>
      <c r="L8" s="1">
        <f>SUMIF('Rennen 7'!$D$3:$D$26,Teamauswertung!$C8,'Rennen 7'!$I$3:$I$26)</f>
        <v>0</v>
      </c>
      <c r="M8" s="1">
        <f>SUMIF('Rennen 8'!$D$3:$D$26,Teamauswertung!$C8,'Rennen 8'!$I$3:$I$26)</f>
        <v>0</v>
      </c>
      <c r="N8" s="1">
        <f>SUMIF('Rennen 9'!$D$3:$D$26,Teamauswertung!$C8,'Rennen 9'!$I$3:$I$26)</f>
        <v>0</v>
      </c>
      <c r="O8" s="1">
        <f>SUMIF('Rennen 10'!$D$3:$D$26,Teamauswertung!$C8,'Rennen 10'!$I$3:$I$26)</f>
        <v>0</v>
      </c>
      <c r="P8" s="1">
        <f>SUMIF('Rennen 11'!$D$3:$D$26,Teamauswertung!$C8,'Rennen 11'!$I$3:$I$26)</f>
        <v>0</v>
      </c>
      <c r="Q8" s="1">
        <f>SUMIF('Rennen 12'!$D$3:$D$26,Teamauswertung!$C8,'Rennen 12'!$I$3:$I$26)</f>
        <v>0</v>
      </c>
      <c r="R8" s="1">
        <f>SUMIF('Rennen 13'!$D$3:$D$26,Teamauswertung!$C8,'Rennen 13'!$I$3:$I$26)</f>
        <v>0</v>
      </c>
      <c r="S8" s="1">
        <f>SUMIF('Rennen 14'!$D$3:$D$26,Teamauswertung!$C8,'Rennen 14'!$I$3:$I$26)</f>
        <v>0</v>
      </c>
      <c r="T8" s="1">
        <f>SUMIF('Rennen 15'!$D$3:$D$26,Teamauswertung!$C8,'Rennen 15'!$I$3:$I$26)</f>
        <v>0</v>
      </c>
      <c r="U8" s="1">
        <f>SUMIF('Rennen 16'!$D$3:$D$26,Teamauswertung!$C8,'Rennen 16'!$I$3:$I$26)</f>
        <v>0</v>
      </c>
      <c r="V8" s="1">
        <f>SUMIF('Rennen 17'!$D$3:$D$26,Teamauswertung!$C8,'Rennen 17'!$I$3:$I$26)</f>
        <v>0</v>
      </c>
      <c r="W8" s="1">
        <f>SUMIF('Rennen 18'!$D$3:$D$26,Teamauswertung!$C8,'Rennen 18'!$I$3:$I$26)</f>
        <v>0</v>
      </c>
      <c r="X8" s="1">
        <f>SUMIF('Rennen 19'!$D$3:$D$26,Teamauswertung!$C8,'Rennen 19'!$I$3:$I$26)</f>
        <v>0</v>
      </c>
      <c r="Y8" s="1">
        <f>SUMIF('Rennen 20'!$D$3:$D$26,Teamauswertung!$C8,'Rennen 20'!$I$3:$I$26)</f>
        <v>0</v>
      </c>
      <c r="Z8" s="1">
        <f>SUMIF('Rennen 21'!$D$3:$D$26,Teamauswertung!$C8,'Rennen 21'!$I$3:$I$26)</f>
        <v>0</v>
      </c>
      <c r="AA8" s="1">
        <f>SUMIF('Rennen 22'!$D$3:$D$26,Teamauswertung!$C8,'Rennen 22'!$I$3:$I$26)</f>
        <v>0</v>
      </c>
      <c r="AB8" s="1">
        <f>SUMIF('Rennen 23'!$D$3:$D$26,Teamauswertung!$C8,'Rennen 23'!$I$3:$I$26)</f>
        <v>0</v>
      </c>
      <c r="AC8" s="1">
        <f>SUMIF('Rennen 24'!$D$3:$D$26,Teamauswertung!$C8,'Rennen 24'!$I$3:$I$26)</f>
        <v>0</v>
      </c>
      <c r="AD8" s="1">
        <f>SUMIF('Rennen 25'!$D$3:$D$26,Teamauswertung!$C8,'Rennen 25'!$I$3:$I$26)</f>
        <v>0</v>
      </c>
      <c r="AE8" s="1">
        <f>SUMIF('Rennen 26'!$D$3:$D$26,Teamauswertung!$C8,'Rennen 26'!$I$3:$I$26)</f>
        <v>0</v>
      </c>
      <c r="AF8" s="1">
        <f>SUMIF('Rennen 27'!$D$3:$D$26,Teamauswertung!$C8,'Rennen 27'!$I$3:$I$26)</f>
        <v>0</v>
      </c>
      <c r="AG8" s="1">
        <f>SUMIF('Rennen 28'!$D$3:$D$26,Teamauswertung!$C8,'Rennen 28'!$I$3:$I$26)</f>
        <v>0</v>
      </c>
      <c r="AH8" s="1">
        <f>SUMIF('Rennen 29'!$D$3:$D$26,Teamauswertung!$C8,'Rennen 29'!$I$3:$I$26)</f>
        <v>0</v>
      </c>
      <c r="AI8" s="1">
        <f>SUMIF('Rennen 30'!$D$3:$D$26,Teamauswertung!$C8,'Rennen 30'!$I$3:$I$26)</f>
        <v>0</v>
      </c>
    </row>
    <row r="9" spans="2:35" x14ac:dyDescent="0.25">
      <c r="B9" s="12">
        <v>7</v>
      </c>
      <c r="C9" s="12"/>
      <c r="D9" s="12"/>
      <c r="E9" s="1">
        <f t="shared" si="0"/>
        <v>0</v>
      </c>
      <c r="F9" s="1">
        <f>SUMIF('Rennen 1'!$D$3:$D$26,Teamauswertung!$C9,'Rennen 1'!$I$3:$I$26)</f>
        <v>0</v>
      </c>
      <c r="G9" s="1">
        <f>SUMIF('Rennen 2'!$D$3:$D$26,Teamauswertung!$C9,'Rennen 2'!$I$3:$I$26)</f>
        <v>0</v>
      </c>
      <c r="H9" s="1">
        <f>SUMIF('Rennen 3'!$D$3:$D$26,Teamauswertung!$C9,'Rennen 3'!$I$3:$I$26)</f>
        <v>0</v>
      </c>
      <c r="I9" s="1">
        <f>SUMIF('Rennen 4'!$D$3:$D$26,Teamauswertung!$C9,'Rennen 4'!$I$3:$I$26)</f>
        <v>0</v>
      </c>
      <c r="J9" s="1">
        <f>SUMIF('Rennen 5'!$D$3:$D$26,Teamauswertung!$C9,'Rennen 5'!$I$3:$I$26)</f>
        <v>0</v>
      </c>
      <c r="K9" s="1">
        <f>SUMIF('Rennen 6'!$D$3:$D$26,Teamauswertung!$C9,'Rennen 6'!$I$3:$I$26)</f>
        <v>0</v>
      </c>
      <c r="L9" s="1">
        <f>SUMIF('Rennen 7'!$D$3:$D$26,Teamauswertung!$C9,'Rennen 7'!$I$3:$I$26)</f>
        <v>0</v>
      </c>
      <c r="M9" s="1">
        <f>SUMIF('Rennen 8'!$D$3:$D$26,Teamauswertung!$C9,'Rennen 8'!$I$3:$I$26)</f>
        <v>0</v>
      </c>
      <c r="N9" s="1">
        <f>SUMIF('Rennen 9'!$D$3:$D$26,Teamauswertung!$C9,'Rennen 9'!$I$3:$I$26)</f>
        <v>0</v>
      </c>
      <c r="O9" s="1">
        <f>SUMIF('Rennen 10'!$D$3:$D$26,Teamauswertung!$C9,'Rennen 10'!$I$3:$I$26)</f>
        <v>0</v>
      </c>
      <c r="P9" s="1">
        <f>SUMIF('Rennen 11'!$D$3:$D$26,Teamauswertung!$C9,'Rennen 11'!$I$3:$I$26)</f>
        <v>0</v>
      </c>
      <c r="Q9" s="1">
        <f>SUMIF('Rennen 12'!$D$3:$D$26,Teamauswertung!$C9,'Rennen 12'!$I$3:$I$26)</f>
        <v>0</v>
      </c>
      <c r="R9" s="1">
        <f>SUMIF('Rennen 13'!$D$3:$D$26,Teamauswertung!$C9,'Rennen 13'!$I$3:$I$26)</f>
        <v>0</v>
      </c>
      <c r="S9" s="1">
        <f>SUMIF('Rennen 14'!$D$3:$D$26,Teamauswertung!$C9,'Rennen 14'!$I$3:$I$26)</f>
        <v>0</v>
      </c>
      <c r="T9" s="1">
        <f>SUMIF('Rennen 15'!$D$3:$D$26,Teamauswertung!$C9,'Rennen 15'!$I$3:$I$26)</f>
        <v>0</v>
      </c>
      <c r="U9" s="1">
        <f>SUMIF('Rennen 16'!$D$3:$D$26,Teamauswertung!$C9,'Rennen 16'!$I$3:$I$26)</f>
        <v>0</v>
      </c>
      <c r="V9" s="1">
        <f>SUMIF('Rennen 17'!$D$3:$D$26,Teamauswertung!$C9,'Rennen 17'!$I$3:$I$26)</f>
        <v>0</v>
      </c>
      <c r="W9" s="1">
        <f>SUMIF('Rennen 18'!$D$3:$D$26,Teamauswertung!$C9,'Rennen 18'!$I$3:$I$26)</f>
        <v>0</v>
      </c>
      <c r="X9" s="1">
        <f>SUMIF('Rennen 19'!$D$3:$D$26,Teamauswertung!$C9,'Rennen 19'!$I$3:$I$26)</f>
        <v>0</v>
      </c>
      <c r="Y9" s="1">
        <f>SUMIF('Rennen 20'!$D$3:$D$26,Teamauswertung!$C9,'Rennen 20'!$I$3:$I$26)</f>
        <v>0</v>
      </c>
      <c r="Z9" s="1">
        <f>SUMIF('Rennen 21'!$D$3:$D$26,Teamauswertung!$C9,'Rennen 21'!$I$3:$I$26)</f>
        <v>0</v>
      </c>
      <c r="AA9" s="1">
        <f>SUMIF('Rennen 22'!$D$3:$D$26,Teamauswertung!$C9,'Rennen 22'!$I$3:$I$26)</f>
        <v>0</v>
      </c>
      <c r="AB9" s="1">
        <f>SUMIF('Rennen 23'!$D$3:$D$26,Teamauswertung!$C9,'Rennen 23'!$I$3:$I$26)</f>
        <v>0</v>
      </c>
      <c r="AC9" s="1">
        <f>SUMIF('Rennen 24'!$D$3:$D$26,Teamauswertung!$C9,'Rennen 24'!$I$3:$I$26)</f>
        <v>0</v>
      </c>
      <c r="AD9" s="1">
        <f>SUMIF('Rennen 25'!$D$3:$D$26,Teamauswertung!$C9,'Rennen 25'!$I$3:$I$26)</f>
        <v>0</v>
      </c>
      <c r="AE9" s="1">
        <f>SUMIF('Rennen 26'!$D$3:$D$26,Teamauswertung!$C9,'Rennen 26'!$I$3:$I$26)</f>
        <v>0</v>
      </c>
      <c r="AF9" s="1">
        <f>SUMIF('Rennen 27'!$D$3:$D$26,Teamauswertung!$C9,'Rennen 27'!$I$3:$I$26)</f>
        <v>0</v>
      </c>
      <c r="AG9" s="1">
        <f>SUMIF('Rennen 28'!$D$3:$D$26,Teamauswertung!$C9,'Rennen 28'!$I$3:$I$26)</f>
        <v>0</v>
      </c>
      <c r="AH9" s="1">
        <f>SUMIF('Rennen 29'!$D$3:$D$26,Teamauswertung!$C9,'Rennen 29'!$I$3:$I$26)</f>
        <v>0</v>
      </c>
      <c r="AI9" s="1">
        <f>SUMIF('Rennen 30'!$D$3:$D$26,Teamauswertung!$C9,'Rennen 30'!$I$3:$I$26)</f>
        <v>0</v>
      </c>
    </row>
    <row r="10" spans="2:35" x14ac:dyDescent="0.25">
      <c r="B10" s="12">
        <v>8</v>
      </c>
      <c r="C10" s="12"/>
      <c r="D10" s="12"/>
      <c r="E10" s="1">
        <f t="shared" si="0"/>
        <v>0</v>
      </c>
      <c r="F10" s="1">
        <f>SUMIF('Rennen 1'!$D$3:$D$26,Teamauswertung!$C10,'Rennen 1'!$I$3:$I$26)</f>
        <v>0</v>
      </c>
      <c r="G10" s="1">
        <f>SUMIF('Rennen 2'!$D$3:$D$26,Teamauswertung!$C10,'Rennen 2'!$I$3:$I$26)</f>
        <v>0</v>
      </c>
      <c r="H10" s="1">
        <f>SUMIF('Rennen 3'!$D$3:$D$26,Teamauswertung!$C10,'Rennen 3'!$I$3:$I$26)</f>
        <v>0</v>
      </c>
      <c r="I10" s="1">
        <f>SUMIF('Rennen 4'!$D$3:$D$26,Teamauswertung!$C10,'Rennen 4'!$I$3:$I$26)</f>
        <v>0</v>
      </c>
      <c r="J10" s="1">
        <f>SUMIF('Rennen 5'!$D$3:$D$26,Teamauswertung!$C10,'Rennen 5'!$I$3:$I$26)</f>
        <v>0</v>
      </c>
      <c r="K10" s="1">
        <f>SUMIF('Rennen 6'!$D$3:$D$26,Teamauswertung!$C10,'Rennen 6'!$I$3:$I$26)</f>
        <v>0</v>
      </c>
      <c r="L10" s="1">
        <f>SUMIF('Rennen 7'!$D$3:$D$26,Teamauswertung!$C10,'Rennen 7'!$I$3:$I$26)</f>
        <v>0</v>
      </c>
      <c r="M10" s="1">
        <f>SUMIF('Rennen 8'!$D$3:$D$26,Teamauswertung!$C10,'Rennen 8'!$I$3:$I$26)</f>
        <v>0</v>
      </c>
      <c r="N10" s="1">
        <f>SUMIF('Rennen 9'!$D$3:$D$26,Teamauswertung!$C10,'Rennen 9'!$I$3:$I$26)</f>
        <v>0</v>
      </c>
      <c r="O10" s="1">
        <f>SUMIF('Rennen 10'!$D$3:$D$26,Teamauswertung!$C10,'Rennen 10'!$I$3:$I$26)</f>
        <v>0</v>
      </c>
      <c r="P10" s="1">
        <f>SUMIF('Rennen 11'!$D$3:$D$26,Teamauswertung!$C10,'Rennen 11'!$I$3:$I$26)</f>
        <v>0</v>
      </c>
      <c r="Q10" s="1">
        <f>SUMIF('Rennen 12'!$D$3:$D$26,Teamauswertung!$C10,'Rennen 12'!$I$3:$I$26)</f>
        <v>0</v>
      </c>
      <c r="R10" s="1">
        <f>SUMIF('Rennen 13'!$D$3:$D$26,Teamauswertung!$C10,'Rennen 13'!$I$3:$I$26)</f>
        <v>0</v>
      </c>
      <c r="S10" s="1">
        <f>SUMIF('Rennen 14'!$D$3:$D$26,Teamauswertung!$C10,'Rennen 14'!$I$3:$I$26)</f>
        <v>0</v>
      </c>
      <c r="T10" s="1">
        <f>SUMIF('Rennen 15'!$D$3:$D$26,Teamauswertung!$C10,'Rennen 15'!$I$3:$I$26)</f>
        <v>0</v>
      </c>
      <c r="U10" s="1">
        <f>SUMIF('Rennen 16'!$D$3:$D$26,Teamauswertung!$C10,'Rennen 16'!$I$3:$I$26)</f>
        <v>0</v>
      </c>
      <c r="V10" s="1">
        <f>SUMIF('Rennen 17'!$D$3:$D$26,Teamauswertung!$C10,'Rennen 17'!$I$3:$I$26)</f>
        <v>0</v>
      </c>
      <c r="W10" s="1">
        <f>SUMIF('Rennen 18'!$D$3:$D$26,Teamauswertung!$C10,'Rennen 18'!$I$3:$I$26)</f>
        <v>0</v>
      </c>
      <c r="X10" s="1">
        <f>SUMIF('Rennen 19'!$D$3:$D$26,Teamauswertung!$C10,'Rennen 19'!$I$3:$I$26)</f>
        <v>0</v>
      </c>
      <c r="Y10" s="1">
        <f>SUMIF('Rennen 20'!$D$3:$D$26,Teamauswertung!$C10,'Rennen 20'!$I$3:$I$26)</f>
        <v>0</v>
      </c>
      <c r="Z10" s="1">
        <f>SUMIF('Rennen 21'!$D$3:$D$26,Teamauswertung!$C10,'Rennen 21'!$I$3:$I$26)</f>
        <v>0</v>
      </c>
      <c r="AA10" s="1">
        <f>SUMIF('Rennen 22'!$D$3:$D$26,Teamauswertung!$C10,'Rennen 22'!$I$3:$I$26)</f>
        <v>0</v>
      </c>
      <c r="AB10" s="1">
        <f>SUMIF('Rennen 23'!$D$3:$D$26,Teamauswertung!$C10,'Rennen 23'!$I$3:$I$26)</f>
        <v>0</v>
      </c>
      <c r="AC10" s="1">
        <f>SUMIF('Rennen 24'!$D$3:$D$26,Teamauswertung!$C10,'Rennen 24'!$I$3:$I$26)</f>
        <v>0</v>
      </c>
      <c r="AD10" s="1">
        <f>SUMIF('Rennen 25'!$D$3:$D$26,Teamauswertung!$C10,'Rennen 25'!$I$3:$I$26)</f>
        <v>0</v>
      </c>
      <c r="AE10" s="1">
        <f>SUMIF('Rennen 26'!$D$3:$D$26,Teamauswertung!$C10,'Rennen 26'!$I$3:$I$26)</f>
        <v>0</v>
      </c>
      <c r="AF10" s="1">
        <f>SUMIF('Rennen 27'!$D$3:$D$26,Teamauswertung!$C10,'Rennen 27'!$I$3:$I$26)</f>
        <v>0</v>
      </c>
      <c r="AG10" s="1">
        <f>SUMIF('Rennen 28'!$D$3:$D$26,Teamauswertung!$C10,'Rennen 28'!$I$3:$I$26)</f>
        <v>0</v>
      </c>
      <c r="AH10" s="1">
        <f>SUMIF('Rennen 29'!$D$3:$D$26,Teamauswertung!$C10,'Rennen 29'!$I$3:$I$26)</f>
        <v>0</v>
      </c>
      <c r="AI10" s="1">
        <f>SUMIF('Rennen 30'!$D$3:$D$26,Teamauswertung!$C10,'Rennen 30'!$I$3:$I$26)</f>
        <v>0</v>
      </c>
    </row>
    <row r="11" spans="2:35" x14ac:dyDescent="0.25">
      <c r="B11" s="12">
        <v>9</v>
      </c>
      <c r="C11" s="12"/>
      <c r="D11" s="12"/>
      <c r="E11" s="1">
        <f t="shared" si="0"/>
        <v>0</v>
      </c>
      <c r="F11" s="1">
        <f>SUMIF('Rennen 1'!$D$3:$D$26,Teamauswertung!$C11,'Rennen 1'!$I$3:$I$26)</f>
        <v>0</v>
      </c>
      <c r="G11" s="1">
        <f>SUMIF('Rennen 2'!$D$3:$D$26,Teamauswertung!$C11,'Rennen 2'!$I$3:$I$26)</f>
        <v>0</v>
      </c>
      <c r="H11" s="1">
        <f>SUMIF('Rennen 3'!$D$3:$D$26,Teamauswertung!$C11,'Rennen 3'!$I$3:$I$26)</f>
        <v>0</v>
      </c>
      <c r="I11" s="1">
        <f>SUMIF('Rennen 4'!$D$3:$D$26,Teamauswertung!$C11,'Rennen 4'!$I$3:$I$26)</f>
        <v>0</v>
      </c>
      <c r="J11" s="1">
        <f>SUMIF('Rennen 5'!$D$3:$D$26,Teamauswertung!$C11,'Rennen 5'!$I$3:$I$26)</f>
        <v>0</v>
      </c>
      <c r="K11" s="1">
        <f>SUMIF('Rennen 6'!$D$3:$D$26,Teamauswertung!$C11,'Rennen 6'!$I$3:$I$26)</f>
        <v>0</v>
      </c>
      <c r="L11" s="1">
        <f>SUMIF('Rennen 7'!$D$3:$D$26,Teamauswertung!$C11,'Rennen 7'!$I$3:$I$26)</f>
        <v>0</v>
      </c>
      <c r="M11" s="1">
        <f>SUMIF('Rennen 8'!$D$3:$D$26,Teamauswertung!$C11,'Rennen 8'!$I$3:$I$26)</f>
        <v>0</v>
      </c>
      <c r="N11" s="1">
        <f>SUMIF('Rennen 9'!$D$3:$D$26,Teamauswertung!$C11,'Rennen 9'!$I$3:$I$26)</f>
        <v>0</v>
      </c>
      <c r="O11" s="1">
        <f>SUMIF('Rennen 10'!$D$3:$D$26,Teamauswertung!$C11,'Rennen 10'!$I$3:$I$26)</f>
        <v>0</v>
      </c>
      <c r="P11" s="1">
        <f>SUMIF('Rennen 11'!$D$3:$D$26,Teamauswertung!$C11,'Rennen 11'!$I$3:$I$26)</f>
        <v>0</v>
      </c>
      <c r="Q11" s="1">
        <f>SUMIF('Rennen 12'!$D$3:$D$26,Teamauswertung!$C11,'Rennen 12'!$I$3:$I$26)</f>
        <v>0</v>
      </c>
      <c r="R11" s="1">
        <f>SUMIF('Rennen 13'!$D$3:$D$26,Teamauswertung!$C11,'Rennen 13'!$I$3:$I$26)</f>
        <v>0</v>
      </c>
      <c r="S11" s="1">
        <f>SUMIF('Rennen 14'!$D$3:$D$26,Teamauswertung!$C11,'Rennen 14'!$I$3:$I$26)</f>
        <v>0</v>
      </c>
      <c r="T11" s="1">
        <f>SUMIF('Rennen 15'!$D$3:$D$26,Teamauswertung!$C11,'Rennen 15'!$I$3:$I$26)</f>
        <v>0</v>
      </c>
      <c r="U11" s="1">
        <f>SUMIF('Rennen 16'!$D$3:$D$26,Teamauswertung!$C11,'Rennen 16'!$I$3:$I$26)</f>
        <v>0</v>
      </c>
      <c r="V11" s="1">
        <f>SUMIF('Rennen 17'!$D$3:$D$26,Teamauswertung!$C11,'Rennen 17'!$I$3:$I$26)</f>
        <v>0</v>
      </c>
      <c r="W11" s="1">
        <f>SUMIF('Rennen 18'!$D$3:$D$26,Teamauswertung!$C11,'Rennen 18'!$I$3:$I$26)</f>
        <v>0</v>
      </c>
      <c r="X11" s="1">
        <f>SUMIF('Rennen 19'!$D$3:$D$26,Teamauswertung!$C11,'Rennen 19'!$I$3:$I$26)</f>
        <v>0</v>
      </c>
      <c r="Y11" s="1">
        <f>SUMIF('Rennen 20'!$D$3:$D$26,Teamauswertung!$C11,'Rennen 20'!$I$3:$I$26)</f>
        <v>0</v>
      </c>
      <c r="Z11" s="1">
        <f>SUMIF('Rennen 21'!$D$3:$D$26,Teamauswertung!$C11,'Rennen 21'!$I$3:$I$26)</f>
        <v>0</v>
      </c>
      <c r="AA11" s="1">
        <f>SUMIF('Rennen 22'!$D$3:$D$26,Teamauswertung!$C11,'Rennen 22'!$I$3:$I$26)</f>
        <v>0</v>
      </c>
      <c r="AB11" s="1">
        <f>SUMIF('Rennen 23'!$D$3:$D$26,Teamauswertung!$C11,'Rennen 23'!$I$3:$I$26)</f>
        <v>0</v>
      </c>
      <c r="AC11" s="1">
        <f>SUMIF('Rennen 24'!$D$3:$D$26,Teamauswertung!$C11,'Rennen 24'!$I$3:$I$26)</f>
        <v>0</v>
      </c>
      <c r="AD11" s="1">
        <f>SUMIF('Rennen 25'!$D$3:$D$26,Teamauswertung!$C11,'Rennen 25'!$I$3:$I$26)</f>
        <v>0</v>
      </c>
      <c r="AE11" s="1">
        <f>SUMIF('Rennen 26'!$D$3:$D$26,Teamauswertung!$C11,'Rennen 26'!$I$3:$I$26)</f>
        <v>0</v>
      </c>
      <c r="AF11" s="1">
        <f>SUMIF('Rennen 27'!$D$3:$D$26,Teamauswertung!$C11,'Rennen 27'!$I$3:$I$26)</f>
        <v>0</v>
      </c>
      <c r="AG11" s="1">
        <f>SUMIF('Rennen 28'!$D$3:$D$26,Teamauswertung!$C11,'Rennen 28'!$I$3:$I$26)</f>
        <v>0</v>
      </c>
      <c r="AH11" s="1">
        <f>SUMIF('Rennen 29'!$D$3:$D$26,Teamauswertung!$C11,'Rennen 29'!$I$3:$I$26)</f>
        <v>0</v>
      </c>
      <c r="AI11" s="1">
        <f>SUMIF('Rennen 30'!$D$3:$D$26,Teamauswertung!$C11,'Rennen 30'!$I$3:$I$26)</f>
        <v>0</v>
      </c>
    </row>
    <row r="12" spans="2:35" x14ac:dyDescent="0.25">
      <c r="B12" s="12">
        <v>10</v>
      </c>
      <c r="C12" s="12"/>
      <c r="D12" s="12"/>
      <c r="E12" s="1">
        <f t="shared" si="0"/>
        <v>0</v>
      </c>
      <c r="F12" s="1">
        <f>SUMIF('Rennen 1'!$D$3:$D$26,Teamauswertung!$C12,'Rennen 1'!$I$3:$I$26)</f>
        <v>0</v>
      </c>
      <c r="G12" s="1">
        <f>SUMIF('Rennen 2'!$D$3:$D$26,Teamauswertung!$C12,'Rennen 2'!$I$3:$I$26)</f>
        <v>0</v>
      </c>
      <c r="H12" s="1">
        <f>SUMIF('Rennen 3'!$D$3:$D$26,Teamauswertung!$C12,'Rennen 3'!$I$3:$I$26)</f>
        <v>0</v>
      </c>
      <c r="I12" s="1">
        <f>SUMIF('Rennen 4'!$D$3:$D$26,Teamauswertung!$C12,'Rennen 4'!$I$3:$I$26)</f>
        <v>0</v>
      </c>
      <c r="J12" s="1">
        <f>SUMIF('Rennen 5'!$D$3:$D$26,Teamauswertung!$C12,'Rennen 5'!$I$3:$I$26)</f>
        <v>0</v>
      </c>
      <c r="K12" s="1">
        <f>SUMIF('Rennen 6'!$D$3:$D$26,Teamauswertung!$C12,'Rennen 6'!$I$3:$I$26)</f>
        <v>0</v>
      </c>
      <c r="L12" s="1">
        <f>SUMIF('Rennen 7'!$D$3:$D$26,Teamauswertung!$C12,'Rennen 7'!$I$3:$I$26)</f>
        <v>0</v>
      </c>
      <c r="M12" s="1">
        <f>SUMIF('Rennen 8'!$D$3:$D$26,Teamauswertung!$C12,'Rennen 8'!$I$3:$I$26)</f>
        <v>0</v>
      </c>
      <c r="N12" s="1">
        <f>SUMIF('Rennen 9'!$D$3:$D$26,Teamauswertung!$C12,'Rennen 9'!$I$3:$I$26)</f>
        <v>0</v>
      </c>
      <c r="O12" s="1">
        <f>SUMIF('Rennen 10'!$D$3:$D$26,Teamauswertung!$C12,'Rennen 10'!$I$3:$I$26)</f>
        <v>0</v>
      </c>
      <c r="P12" s="1">
        <f>SUMIF('Rennen 11'!$D$3:$D$26,Teamauswertung!$C12,'Rennen 11'!$I$3:$I$26)</f>
        <v>0</v>
      </c>
      <c r="Q12" s="1">
        <f>SUMIF('Rennen 12'!$D$3:$D$26,Teamauswertung!$C12,'Rennen 12'!$I$3:$I$26)</f>
        <v>0</v>
      </c>
      <c r="R12" s="1">
        <f>SUMIF('Rennen 13'!$D$3:$D$26,Teamauswertung!$C12,'Rennen 13'!$I$3:$I$26)</f>
        <v>0</v>
      </c>
      <c r="S12" s="1">
        <f>SUMIF('Rennen 14'!$D$3:$D$26,Teamauswertung!$C12,'Rennen 14'!$I$3:$I$26)</f>
        <v>0</v>
      </c>
      <c r="T12" s="1">
        <f>SUMIF('Rennen 15'!$D$3:$D$26,Teamauswertung!$C12,'Rennen 15'!$I$3:$I$26)</f>
        <v>0</v>
      </c>
      <c r="U12" s="1">
        <f>SUMIF('Rennen 16'!$D$3:$D$26,Teamauswertung!$C12,'Rennen 16'!$I$3:$I$26)</f>
        <v>0</v>
      </c>
      <c r="V12" s="1">
        <f>SUMIF('Rennen 17'!$D$3:$D$26,Teamauswertung!$C12,'Rennen 17'!$I$3:$I$26)</f>
        <v>0</v>
      </c>
      <c r="W12" s="1">
        <f>SUMIF('Rennen 18'!$D$3:$D$26,Teamauswertung!$C12,'Rennen 18'!$I$3:$I$26)</f>
        <v>0</v>
      </c>
      <c r="X12" s="1">
        <f>SUMIF('Rennen 19'!$D$3:$D$26,Teamauswertung!$C12,'Rennen 19'!$I$3:$I$26)</f>
        <v>0</v>
      </c>
      <c r="Y12" s="1">
        <f>SUMIF('Rennen 20'!$D$3:$D$26,Teamauswertung!$C12,'Rennen 20'!$I$3:$I$26)</f>
        <v>0</v>
      </c>
      <c r="Z12" s="1">
        <f>SUMIF('Rennen 21'!$D$3:$D$26,Teamauswertung!$C12,'Rennen 21'!$I$3:$I$26)</f>
        <v>0</v>
      </c>
      <c r="AA12" s="1">
        <f>SUMIF('Rennen 22'!$D$3:$D$26,Teamauswertung!$C12,'Rennen 22'!$I$3:$I$26)</f>
        <v>0</v>
      </c>
      <c r="AB12" s="1">
        <f>SUMIF('Rennen 23'!$D$3:$D$26,Teamauswertung!$C12,'Rennen 23'!$I$3:$I$26)</f>
        <v>0</v>
      </c>
      <c r="AC12" s="1">
        <f>SUMIF('Rennen 24'!$D$3:$D$26,Teamauswertung!$C12,'Rennen 24'!$I$3:$I$26)</f>
        <v>0</v>
      </c>
      <c r="AD12" s="1">
        <f>SUMIF('Rennen 25'!$D$3:$D$26,Teamauswertung!$C12,'Rennen 25'!$I$3:$I$26)</f>
        <v>0</v>
      </c>
      <c r="AE12" s="1">
        <f>SUMIF('Rennen 26'!$D$3:$D$26,Teamauswertung!$C12,'Rennen 26'!$I$3:$I$26)</f>
        <v>0</v>
      </c>
      <c r="AF12" s="1">
        <f>SUMIF('Rennen 27'!$D$3:$D$26,Teamauswertung!$C12,'Rennen 27'!$I$3:$I$26)</f>
        <v>0</v>
      </c>
      <c r="AG12" s="1">
        <f>SUMIF('Rennen 28'!$D$3:$D$26,Teamauswertung!$C12,'Rennen 28'!$I$3:$I$26)</f>
        <v>0</v>
      </c>
      <c r="AH12" s="1">
        <f>SUMIF('Rennen 29'!$D$3:$D$26,Teamauswertung!$C12,'Rennen 29'!$I$3:$I$26)</f>
        <v>0</v>
      </c>
      <c r="AI12" s="1">
        <f>SUMIF('Rennen 30'!$D$3:$D$26,Teamauswertung!$C12,'Rennen 30'!$I$3:$I$26)</f>
        <v>0</v>
      </c>
    </row>
    <row r="13" spans="2:35" x14ac:dyDescent="0.25">
      <c r="B13" s="12">
        <v>11</v>
      </c>
      <c r="C13" s="12"/>
      <c r="D13" s="12"/>
      <c r="E13" s="1">
        <f t="shared" si="0"/>
        <v>0</v>
      </c>
      <c r="F13" s="1">
        <f>SUMIF('Rennen 1'!$D$3:$D$26,Teamauswertung!$C13,'Rennen 1'!$I$3:$I$26)</f>
        <v>0</v>
      </c>
      <c r="G13" s="1">
        <f>SUMIF('Rennen 2'!$D$3:$D$26,Teamauswertung!$C13,'Rennen 2'!$I$3:$I$26)</f>
        <v>0</v>
      </c>
      <c r="H13" s="1">
        <f>SUMIF('Rennen 3'!$D$3:$D$26,Teamauswertung!$C13,'Rennen 3'!$I$3:$I$26)</f>
        <v>0</v>
      </c>
      <c r="I13" s="1">
        <f>SUMIF('Rennen 4'!$D$3:$D$26,Teamauswertung!$C13,'Rennen 4'!$I$3:$I$26)</f>
        <v>0</v>
      </c>
      <c r="J13" s="1">
        <f>SUMIF('Rennen 5'!$D$3:$D$26,Teamauswertung!$C13,'Rennen 5'!$I$3:$I$26)</f>
        <v>0</v>
      </c>
      <c r="K13" s="1">
        <f>SUMIF('Rennen 6'!$D$3:$D$26,Teamauswertung!$C13,'Rennen 6'!$I$3:$I$26)</f>
        <v>0</v>
      </c>
      <c r="L13" s="1">
        <f>SUMIF('Rennen 7'!$D$3:$D$26,Teamauswertung!$C13,'Rennen 7'!$I$3:$I$26)</f>
        <v>0</v>
      </c>
      <c r="M13" s="1">
        <f>SUMIF('Rennen 8'!$D$3:$D$26,Teamauswertung!$C13,'Rennen 8'!$I$3:$I$26)</f>
        <v>0</v>
      </c>
      <c r="N13" s="1">
        <f>SUMIF('Rennen 9'!$D$3:$D$26,Teamauswertung!$C13,'Rennen 9'!$I$3:$I$26)</f>
        <v>0</v>
      </c>
      <c r="O13" s="1">
        <f>SUMIF('Rennen 10'!$D$3:$D$26,Teamauswertung!$C13,'Rennen 10'!$I$3:$I$26)</f>
        <v>0</v>
      </c>
      <c r="P13" s="1">
        <f>SUMIF('Rennen 11'!$D$3:$D$26,Teamauswertung!$C13,'Rennen 11'!$I$3:$I$26)</f>
        <v>0</v>
      </c>
      <c r="Q13" s="1">
        <f>SUMIF('Rennen 12'!$D$3:$D$26,Teamauswertung!$C13,'Rennen 12'!$I$3:$I$26)</f>
        <v>0</v>
      </c>
      <c r="R13" s="1">
        <f>SUMIF('Rennen 13'!$D$3:$D$26,Teamauswertung!$C13,'Rennen 13'!$I$3:$I$26)</f>
        <v>0</v>
      </c>
      <c r="S13" s="1">
        <f>SUMIF('Rennen 14'!$D$3:$D$26,Teamauswertung!$C13,'Rennen 14'!$I$3:$I$26)</f>
        <v>0</v>
      </c>
      <c r="T13" s="1">
        <f>SUMIF('Rennen 15'!$D$3:$D$26,Teamauswertung!$C13,'Rennen 15'!$I$3:$I$26)</f>
        <v>0</v>
      </c>
      <c r="U13" s="1">
        <f>SUMIF('Rennen 16'!$D$3:$D$26,Teamauswertung!$C13,'Rennen 16'!$I$3:$I$26)</f>
        <v>0</v>
      </c>
      <c r="V13" s="1">
        <f>SUMIF('Rennen 17'!$D$3:$D$26,Teamauswertung!$C13,'Rennen 17'!$I$3:$I$26)</f>
        <v>0</v>
      </c>
      <c r="W13" s="1">
        <f>SUMIF('Rennen 18'!$D$3:$D$26,Teamauswertung!$C13,'Rennen 18'!$I$3:$I$26)</f>
        <v>0</v>
      </c>
      <c r="X13" s="1">
        <f>SUMIF('Rennen 19'!$D$3:$D$26,Teamauswertung!$C13,'Rennen 19'!$I$3:$I$26)</f>
        <v>0</v>
      </c>
      <c r="Y13" s="1">
        <f>SUMIF('Rennen 20'!$D$3:$D$26,Teamauswertung!$C13,'Rennen 20'!$I$3:$I$26)</f>
        <v>0</v>
      </c>
      <c r="Z13" s="1">
        <f>SUMIF('Rennen 21'!$D$3:$D$26,Teamauswertung!$C13,'Rennen 21'!$I$3:$I$26)</f>
        <v>0</v>
      </c>
      <c r="AA13" s="1">
        <f>SUMIF('Rennen 22'!$D$3:$D$26,Teamauswertung!$C13,'Rennen 22'!$I$3:$I$26)</f>
        <v>0</v>
      </c>
      <c r="AB13" s="1">
        <f>SUMIF('Rennen 23'!$D$3:$D$26,Teamauswertung!$C13,'Rennen 23'!$I$3:$I$26)</f>
        <v>0</v>
      </c>
      <c r="AC13" s="1">
        <f>SUMIF('Rennen 24'!$D$3:$D$26,Teamauswertung!$C13,'Rennen 24'!$I$3:$I$26)</f>
        <v>0</v>
      </c>
      <c r="AD13" s="1">
        <f>SUMIF('Rennen 25'!$D$3:$D$26,Teamauswertung!$C13,'Rennen 25'!$I$3:$I$26)</f>
        <v>0</v>
      </c>
      <c r="AE13" s="1">
        <f>SUMIF('Rennen 26'!$D$3:$D$26,Teamauswertung!$C13,'Rennen 26'!$I$3:$I$26)</f>
        <v>0</v>
      </c>
      <c r="AF13" s="1">
        <f>SUMIF('Rennen 27'!$D$3:$D$26,Teamauswertung!$C13,'Rennen 27'!$I$3:$I$26)</f>
        <v>0</v>
      </c>
      <c r="AG13" s="1">
        <f>SUMIF('Rennen 28'!$D$3:$D$26,Teamauswertung!$C13,'Rennen 28'!$I$3:$I$26)</f>
        <v>0</v>
      </c>
      <c r="AH13" s="1">
        <f>SUMIF('Rennen 29'!$D$3:$D$26,Teamauswertung!$C13,'Rennen 29'!$I$3:$I$26)</f>
        <v>0</v>
      </c>
      <c r="AI13" s="1">
        <f>SUMIF('Rennen 30'!$D$3:$D$26,Teamauswertung!$C13,'Rennen 30'!$I$3:$I$26)</f>
        <v>0</v>
      </c>
    </row>
    <row r="14" spans="2:35" x14ac:dyDescent="0.25">
      <c r="B14" s="12">
        <v>12</v>
      </c>
      <c r="C14" s="12"/>
      <c r="D14" s="12"/>
      <c r="E14" s="1">
        <f t="shared" si="0"/>
        <v>0</v>
      </c>
      <c r="F14" s="1">
        <f>SUMIF('Rennen 1'!$D$3:$D$26,Teamauswertung!$C14,'Rennen 1'!$I$3:$I$26)</f>
        <v>0</v>
      </c>
      <c r="G14" s="1">
        <f>SUMIF('Rennen 2'!$D$3:$D$26,Teamauswertung!$C14,'Rennen 2'!$I$3:$I$26)</f>
        <v>0</v>
      </c>
      <c r="H14" s="1">
        <f>SUMIF('Rennen 3'!$D$3:$D$26,Teamauswertung!$C14,'Rennen 3'!$I$3:$I$26)</f>
        <v>0</v>
      </c>
      <c r="I14" s="1">
        <f>SUMIF('Rennen 4'!$D$3:$D$26,Teamauswertung!$C14,'Rennen 4'!$I$3:$I$26)</f>
        <v>0</v>
      </c>
      <c r="J14" s="1">
        <f>SUMIF('Rennen 5'!$D$3:$D$26,Teamauswertung!$C14,'Rennen 5'!$I$3:$I$26)</f>
        <v>0</v>
      </c>
      <c r="K14" s="1">
        <f>SUMIF('Rennen 6'!$D$3:$D$26,Teamauswertung!$C14,'Rennen 6'!$I$3:$I$26)</f>
        <v>0</v>
      </c>
      <c r="L14" s="1">
        <f>SUMIF('Rennen 7'!$D$3:$D$26,Teamauswertung!$C14,'Rennen 7'!$I$3:$I$26)</f>
        <v>0</v>
      </c>
      <c r="M14" s="1">
        <f>SUMIF('Rennen 8'!$D$3:$D$26,Teamauswertung!$C14,'Rennen 8'!$I$3:$I$26)</f>
        <v>0</v>
      </c>
      <c r="N14" s="1">
        <f>SUMIF('Rennen 9'!$D$3:$D$26,Teamauswertung!$C14,'Rennen 9'!$I$3:$I$26)</f>
        <v>0</v>
      </c>
      <c r="O14" s="1">
        <f>SUMIF('Rennen 10'!$D$3:$D$26,Teamauswertung!$C14,'Rennen 10'!$I$3:$I$26)</f>
        <v>0</v>
      </c>
      <c r="P14" s="1">
        <f>SUMIF('Rennen 11'!$D$3:$D$26,Teamauswertung!$C14,'Rennen 11'!$I$3:$I$26)</f>
        <v>0</v>
      </c>
      <c r="Q14" s="1">
        <f>SUMIF('Rennen 12'!$D$3:$D$26,Teamauswertung!$C14,'Rennen 12'!$I$3:$I$26)</f>
        <v>0</v>
      </c>
      <c r="R14" s="1">
        <f>SUMIF('Rennen 13'!$D$3:$D$26,Teamauswertung!$C14,'Rennen 13'!$I$3:$I$26)</f>
        <v>0</v>
      </c>
      <c r="S14" s="1">
        <f>SUMIF('Rennen 14'!$D$3:$D$26,Teamauswertung!$C14,'Rennen 14'!$I$3:$I$26)</f>
        <v>0</v>
      </c>
      <c r="T14" s="1">
        <f>SUMIF('Rennen 15'!$D$3:$D$26,Teamauswertung!$C14,'Rennen 15'!$I$3:$I$26)</f>
        <v>0</v>
      </c>
      <c r="U14" s="1">
        <f>SUMIF('Rennen 16'!$D$3:$D$26,Teamauswertung!$C14,'Rennen 16'!$I$3:$I$26)</f>
        <v>0</v>
      </c>
      <c r="V14" s="1">
        <f>SUMIF('Rennen 17'!$D$3:$D$26,Teamauswertung!$C14,'Rennen 17'!$I$3:$I$26)</f>
        <v>0</v>
      </c>
      <c r="W14" s="1">
        <f>SUMIF('Rennen 18'!$D$3:$D$26,Teamauswertung!$C14,'Rennen 18'!$I$3:$I$26)</f>
        <v>0</v>
      </c>
      <c r="X14" s="1">
        <f>SUMIF('Rennen 19'!$D$3:$D$26,Teamauswertung!$C14,'Rennen 19'!$I$3:$I$26)</f>
        <v>0</v>
      </c>
      <c r="Y14" s="1">
        <f>SUMIF('Rennen 20'!$D$3:$D$26,Teamauswertung!$C14,'Rennen 20'!$I$3:$I$26)</f>
        <v>0</v>
      </c>
      <c r="Z14" s="1">
        <f>SUMIF('Rennen 21'!$D$3:$D$26,Teamauswertung!$C14,'Rennen 21'!$I$3:$I$26)</f>
        <v>0</v>
      </c>
      <c r="AA14" s="1">
        <f>SUMIF('Rennen 22'!$D$3:$D$26,Teamauswertung!$C14,'Rennen 22'!$I$3:$I$26)</f>
        <v>0</v>
      </c>
      <c r="AB14" s="1">
        <f>SUMIF('Rennen 23'!$D$3:$D$26,Teamauswertung!$C14,'Rennen 23'!$I$3:$I$26)</f>
        <v>0</v>
      </c>
      <c r="AC14" s="1">
        <f>SUMIF('Rennen 24'!$D$3:$D$26,Teamauswertung!$C14,'Rennen 24'!$I$3:$I$26)</f>
        <v>0</v>
      </c>
      <c r="AD14" s="1">
        <f>SUMIF('Rennen 25'!$D$3:$D$26,Teamauswertung!$C14,'Rennen 25'!$I$3:$I$26)</f>
        <v>0</v>
      </c>
      <c r="AE14" s="1">
        <f>SUMIF('Rennen 26'!$D$3:$D$26,Teamauswertung!$C14,'Rennen 26'!$I$3:$I$26)</f>
        <v>0</v>
      </c>
      <c r="AF14" s="1">
        <f>SUMIF('Rennen 27'!$D$3:$D$26,Teamauswertung!$C14,'Rennen 27'!$I$3:$I$26)</f>
        <v>0</v>
      </c>
      <c r="AG14" s="1">
        <f>SUMIF('Rennen 28'!$D$3:$D$26,Teamauswertung!$C14,'Rennen 28'!$I$3:$I$26)</f>
        <v>0</v>
      </c>
      <c r="AH14" s="1">
        <f>SUMIF('Rennen 29'!$D$3:$D$26,Teamauswertung!$C14,'Rennen 29'!$I$3:$I$26)</f>
        <v>0</v>
      </c>
      <c r="AI14" s="1">
        <f>SUMIF('Rennen 30'!$D$3:$D$26,Teamauswertung!$C14,'Rennen 30'!$I$3:$I$26)</f>
        <v>0</v>
      </c>
    </row>
    <row r="15" spans="2:35" x14ac:dyDescent="0.25">
      <c r="B15" s="12">
        <v>13</v>
      </c>
      <c r="C15" s="12"/>
      <c r="D15" s="12"/>
      <c r="E15" s="1">
        <f t="shared" si="0"/>
        <v>0</v>
      </c>
      <c r="F15" s="1">
        <f>SUMIF('Rennen 1'!$D$3:$D$26,Teamauswertung!$C15,'Rennen 1'!$I$3:$I$26)</f>
        <v>0</v>
      </c>
      <c r="G15" s="1">
        <f>SUMIF('Rennen 2'!$D$3:$D$26,Teamauswertung!$C15,'Rennen 2'!$I$3:$I$26)</f>
        <v>0</v>
      </c>
      <c r="H15" s="1">
        <f>SUMIF('Rennen 3'!$D$3:$D$26,Teamauswertung!$C15,'Rennen 3'!$I$3:$I$26)</f>
        <v>0</v>
      </c>
      <c r="I15" s="1">
        <f>SUMIF('Rennen 4'!$D$3:$D$26,Teamauswertung!$C15,'Rennen 4'!$I$3:$I$26)</f>
        <v>0</v>
      </c>
      <c r="J15" s="1">
        <f>SUMIF('Rennen 5'!$D$3:$D$26,Teamauswertung!$C15,'Rennen 5'!$I$3:$I$26)</f>
        <v>0</v>
      </c>
      <c r="K15" s="1">
        <f>SUMIF('Rennen 6'!$D$3:$D$26,Teamauswertung!$C15,'Rennen 6'!$I$3:$I$26)</f>
        <v>0</v>
      </c>
      <c r="L15" s="1">
        <f>SUMIF('Rennen 7'!$D$3:$D$26,Teamauswertung!$C15,'Rennen 7'!$I$3:$I$26)</f>
        <v>0</v>
      </c>
      <c r="M15" s="1">
        <f>SUMIF('Rennen 8'!$D$3:$D$26,Teamauswertung!$C15,'Rennen 8'!$I$3:$I$26)</f>
        <v>0</v>
      </c>
      <c r="N15" s="1">
        <f>SUMIF('Rennen 9'!$D$3:$D$26,Teamauswertung!$C15,'Rennen 9'!$I$3:$I$26)</f>
        <v>0</v>
      </c>
      <c r="O15" s="1">
        <f>SUMIF('Rennen 10'!$D$3:$D$26,Teamauswertung!$C15,'Rennen 10'!$I$3:$I$26)</f>
        <v>0</v>
      </c>
      <c r="P15" s="1">
        <f>SUMIF('Rennen 11'!$D$3:$D$26,Teamauswertung!$C15,'Rennen 11'!$I$3:$I$26)</f>
        <v>0</v>
      </c>
      <c r="Q15" s="1">
        <f>SUMIF('Rennen 12'!$D$3:$D$26,Teamauswertung!$C15,'Rennen 12'!$I$3:$I$26)</f>
        <v>0</v>
      </c>
      <c r="R15" s="1">
        <f>SUMIF('Rennen 13'!$D$3:$D$26,Teamauswertung!$C15,'Rennen 13'!$I$3:$I$26)</f>
        <v>0</v>
      </c>
      <c r="S15" s="1">
        <f>SUMIF('Rennen 14'!$D$3:$D$26,Teamauswertung!$C15,'Rennen 14'!$I$3:$I$26)</f>
        <v>0</v>
      </c>
      <c r="T15" s="1">
        <f>SUMIF('Rennen 15'!$D$3:$D$26,Teamauswertung!$C15,'Rennen 15'!$I$3:$I$26)</f>
        <v>0</v>
      </c>
      <c r="U15" s="1">
        <f>SUMIF('Rennen 16'!$D$3:$D$26,Teamauswertung!$C15,'Rennen 16'!$I$3:$I$26)</f>
        <v>0</v>
      </c>
      <c r="V15" s="1">
        <f>SUMIF('Rennen 17'!$D$3:$D$26,Teamauswertung!$C15,'Rennen 17'!$I$3:$I$26)</f>
        <v>0</v>
      </c>
      <c r="W15" s="1">
        <f>SUMIF('Rennen 18'!$D$3:$D$26,Teamauswertung!$C15,'Rennen 18'!$I$3:$I$26)</f>
        <v>0</v>
      </c>
      <c r="X15" s="1">
        <f>SUMIF('Rennen 19'!$D$3:$D$26,Teamauswertung!$C15,'Rennen 19'!$I$3:$I$26)</f>
        <v>0</v>
      </c>
      <c r="Y15" s="1">
        <f>SUMIF('Rennen 20'!$D$3:$D$26,Teamauswertung!$C15,'Rennen 20'!$I$3:$I$26)</f>
        <v>0</v>
      </c>
      <c r="Z15" s="1">
        <f>SUMIF('Rennen 21'!$D$3:$D$26,Teamauswertung!$C15,'Rennen 21'!$I$3:$I$26)</f>
        <v>0</v>
      </c>
      <c r="AA15" s="1">
        <f>SUMIF('Rennen 22'!$D$3:$D$26,Teamauswertung!$C15,'Rennen 22'!$I$3:$I$26)</f>
        <v>0</v>
      </c>
      <c r="AB15" s="1">
        <f>SUMIF('Rennen 23'!$D$3:$D$26,Teamauswertung!$C15,'Rennen 23'!$I$3:$I$26)</f>
        <v>0</v>
      </c>
      <c r="AC15" s="1">
        <f>SUMIF('Rennen 24'!$D$3:$D$26,Teamauswertung!$C15,'Rennen 24'!$I$3:$I$26)</f>
        <v>0</v>
      </c>
      <c r="AD15" s="1">
        <f>SUMIF('Rennen 25'!$D$3:$D$26,Teamauswertung!$C15,'Rennen 25'!$I$3:$I$26)</f>
        <v>0</v>
      </c>
      <c r="AE15" s="1">
        <f>SUMIF('Rennen 26'!$D$3:$D$26,Teamauswertung!$C15,'Rennen 26'!$I$3:$I$26)</f>
        <v>0</v>
      </c>
      <c r="AF15" s="1">
        <f>SUMIF('Rennen 27'!$D$3:$D$26,Teamauswertung!$C15,'Rennen 27'!$I$3:$I$26)</f>
        <v>0</v>
      </c>
      <c r="AG15" s="1">
        <f>SUMIF('Rennen 28'!$D$3:$D$26,Teamauswertung!$C15,'Rennen 28'!$I$3:$I$26)</f>
        <v>0</v>
      </c>
      <c r="AH15" s="1">
        <f>SUMIF('Rennen 29'!$D$3:$D$26,Teamauswertung!$C15,'Rennen 29'!$I$3:$I$26)</f>
        <v>0</v>
      </c>
      <c r="AI15" s="1">
        <f>SUMIF('Rennen 30'!$D$3:$D$26,Teamauswertung!$C15,'Rennen 30'!$I$3:$I$26)</f>
        <v>0</v>
      </c>
    </row>
    <row r="16" spans="2:35" x14ac:dyDescent="0.25">
      <c r="B16" s="12">
        <v>14</v>
      </c>
      <c r="C16" s="12"/>
      <c r="D16" s="12"/>
      <c r="E16" s="1">
        <f t="shared" si="0"/>
        <v>0</v>
      </c>
      <c r="F16" s="1">
        <f>SUMIF('Rennen 1'!$D$3:$D$26,Teamauswertung!$C16,'Rennen 1'!$I$3:$I$26)</f>
        <v>0</v>
      </c>
      <c r="G16" s="1">
        <f>SUMIF('Rennen 2'!$D$3:$D$26,Teamauswertung!$C16,'Rennen 2'!$I$3:$I$26)</f>
        <v>0</v>
      </c>
      <c r="H16" s="1">
        <f>SUMIF('Rennen 3'!$D$3:$D$26,Teamauswertung!$C16,'Rennen 3'!$I$3:$I$26)</f>
        <v>0</v>
      </c>
      <c r="I16" s="1">
        <f>SUMIF('Rennen 4'!$D$3:$D$26,Teamauswertung!$C16,'Rennen 4'!$I$3:$I$26)</f>
        <v>0</v>
      </c>
      <c r="J16" s="1">
        <f>SUMIF('Rennen 5'!$D$3:$D$26,Teamauswertung!$C16,'Rennen 5'!$I$3:$I$26)</f>
        <v>0</v>
      </c>
      <c r="K16" s="1">
        <f>SUMIF('Rennen 6'!$D$3:$D$26,Teamauswertung!$C16,'Rennen 6'!$I$3:$I$26)</f>
        <v>0</v>
      </c>
      <c r="L16" s="1">
        <f>SUMIF('Rennen 7'!$D$3:$D$26,Teamauswertung!$C16,'Rennen 7'!$I$3:$I$26)</f>
        <v>0</v>
      </c>
      <c r="M16" s="1">
        <f>SUMIF('Rennen 8'!$D$3:$D$26,Teamauswertung!$C16,'Rennen 8'!$I$3:$I$26)</f>
        <v>0</v>
      </c>
      <c r="N16" s="1">
        <f>SUMIF('Rennen 9'!$D$3:$D$26,Teamauswertung!$C16,'Rennen 9'!$I$3:$I$26)</f>
        <v>0</v>
      </c>
      <c r="O16" s="1">
        <f>SUMIF('Rennen 10'!$D$3:$D$26,Teamauswertung!$C16,'Rennen 10'!$I$3:$I$26)</f>
        <v>0</v>
      </c>
      <c r="P16" s="1">
        <f>SUMIF('Rennen 11'!$D$3:$D$26,Teamauswertung!$C16,'Rennen 11'!$I$3:$I$26)</f>
        <v>0</v>
      </c>
      <c r="Q16" s="1">
        <f>SUMIF('Rennen 12'!$D$3:$D$26,Teamauswertung!$C16,'Rennen 12'!$I$3:$I$26)</f>
        <v>0</v>
      </c>
      <c r="R16" s="1">
        <f>SUMIF('Rennen 13'!$D$3:$D$26,Teamauswertung!$C16,'Rennen 13'!$I$3:$I$26)</f>
        <v>0</v>
      </c>
      <c r="S16" s="1">
        <f>SUMIF('Rennen 14'!$D$3:$D$26,Teamauswertung!$C16,'Rennen 14'!$I$3:$I$26)</f>
        <v>0</v>
      </c>
      <c r="T16" s="1">
        <f>SUMIF('Rennen 15'!$D$3:$D$26,Teamauswertung!$C16,'Rennen 15'!$I$3:$I$26)</f>
        <v>0</v>
      </c>
      <c r="U16" s="1">
        <f>SUMIF('Rennen 16'!$D$3:$D$26,Teamauswertung!$C16,'Rennen 16'!$I$3:$I$26)</f>
        <v>0</v>
      </c>
      <c r="V16" s="1">
        <f>SUMIF('Rennen 17'!$D$3:$D$26,Teamauswertung!$C16,'Rennen 17'!$I$3:$I$26)</f>
        <v>0</v>
      </c>
      <c r="W16" s="1">
        <f>SUMIF('Rennen 18'!$D$3:$D$26,Teamauswertung!$C16,'Rennen 18'!$I$3:$I$26)</f>
        <v>0</v>
      </c>
      <c r="X16" s="1">
        <f>SUMIF('Rennen 19'!$D$3:$D$26,Teamauswertung!$C16,'Rennen 19'!$I$3:$I$26)</f>
        <v>0</v>
      </c>
      <c r="Y16" s="1">
        <f>SUMIF('Rennen 20'!$D$3:$D$26,Teamauswertung!$C16,'Rennen 20'!$I$3:$I$26)</f>
        <v>0</v>
      </c>
      <c r="Z16" s="1">
        <f>SUMIF('Rennen 21'!$D$3:$D$26,Teamauswertung!$C16,'Rennen 21'!$I$3:$I$26)</f>
        <v>0</v>
      </c>
      <c r="AA16" s="1">
        <f>SUMIF('Rennen 22'!$D$3:$D$26,Teamauswertung!$C16,'Rennen 22'!$I$3:$I$26)</f>
        <v>0</v>
      </c>
      <c r="AB16" s="1">
        <f>SUMIF('Rennen 23'!$D$3:$D$26,Teamauswertung!$C16,'Rennen 23'!$I$3:$I$26)</f>
        <v>0</v>
      </c>
      <c r="AC16" s="1">
        <f>SUMIF('Rennen 24'!$D$3:$D$26,Teamauswertung!$C16,'Rennen 24'!$I$3:$I$26)</f>
        <v>0</v>
      </c>
      <c r="AD16" s="1">
        <f>SUMIF('Rennen 25'!$D$3:$D$26,Teamauswertung!$C16,'Rennen 25'!$I$3:$I$26)</f>
        <v>0</v>
      </c>
      <c r="AE16" s="1">
        <f>SUMIF('Rennen 26'!$D$3:$D$26,Teamauswertung!$C16,'Rennen 26'!$I$3:$I$26)</f>
        <v>0</v>
      </c>
      <c r="AF16" s="1">
        <f>SUMIF('Rennen 27'!$D$3:$D$26,Teamauswertung!$C16,'Rennen 27'!$I$3:$I$26)</f>
        <v>0</v>
      </c>
      <c r="AG16" s="1">
        <f>SUMIF('Rennen 28'!$D$3:$D$26,Teamauswertung!$C16,'Rennen 28'!$I$3:$I$26)</f>
        <v>0</v>
      </c>
      <c r="AH16" s="1">
        <f>SUMIF('Rennen 29'!$D$3:$D$26,Teamauswertung!$C16,'Rennen 29'!$I$3:$I$26)</f>
        <v>0</v>
      </c>
      <c r="AI16" s="1">
        <f>SUMIF('Rennen 30'!$D$3:$D$26,Teamauswertung!$C16,'Rennen 30'!$I$3:$I$26)</f>
        <v>0</v>
      </c>
    </row>
    <row r="17" spans="2:35" x14ac:dyDescent="0.25">
      <c r="B17" s="12">
        <v>15</v>
      </c>
      <c r="C17" s="12"/>
      <c r="D17" s="12"/>
      <c r="E17" s="1">
        <f t="shared" si="0"/>
        <v>0</v>
      </c>
      <c r="F17" s="1">
        <f>SUMIF('Rennen 1'!$D$3:$D$26,Teamauswertung!$C17,'Rennen 1'!$I$3:$I$26)</f>
        <v>0</v>
      </c>
      <c r="G17" s="1">
        <f>SUMIF('Rennen 2'!$D$3:$D$26,Teamauswertung!$C17,'Rennen 2'!$I$3:$I$26)</f>
        <v>0</v>
      </c>
      <c r="H17" s="1">
        <f>SUMIF('Rennen 3'!$D$3:$D$26,Teamauswertung!$C17,'Rennen 3'!$I$3:$I$26)</f>
        <v>0</v>
      </c>
      <c r="I17" s="1">
        <f>SUMIF('Rennen 4'!$D$3:$D$26,Teamauswertung!$C17,'Rennen 4'!$I$3:$I$26)</f>
        <v>0</v>
      </c>
      <c r="J17" s="1">
        <f>SUMIF('Rennen 5'!$D$3:$D$26,Teamauswertung!$C17,'Rennen 5'!$I$3:$I$26)</f>
        <v>0</v>
      </c>
      <c r="K17" s="1">
        <f>SUMIF('Rennen 6'!$D$3:$D$26,Teamauswertung!$C17,'Rennen 6'!$I$3:$I$26)</f>
        <v>0</v>
      </c>
      <c r="L17" s="1">
        <f>SUMIF('Rennen 7'!$D$3:$D$26,Teamauswertung!$C17,'Rennen 7'!$I$3:$I$26)</f>
        <v>0</v>
      </c>
      <c r="M17" s="1">
        <f>SUMIF('Rennen 8'!$D$3:$D$26,Teamauswertung!$C17,'Rennen 8'!$I$3:$I$26)</f>
        <v>0</v>
      </c>
      <c r="N17" s="1">
        <f>SUMIF('Rennen 9'!$D$3:$D$26,Teamauswertung!$C17,'Rennen 9'!$I$3:$I$26)</f>
        <v>0</v>
      </c>
      <c r="O17" s="1">
        <f>SUMIF('Rennen 10'!$D$3:$D$26,Teamauswertung!$C17,'Rennen 10'!$I$3:$I$26)</f>
        <v>0</v>
      </c>
      <c r="P17" s="1">
        <f>SUMIF('Rennen 11'!$D$3:$D$26,Teamauswertung!$C17,'Rennen 11'!$I$3:$I$26)</f>
        <v>0</v>
      </c>
      <c r="Q17" s="1">
        <f>SUMIF('Rennen 12'!$D$3:$D$26,Teamauswertung!$C17,'Rennen 12'!$I$3:$I$26)</f>
        <v>0</v>
      </c>
      <c r="R17" s="1">
        <f>SUMIF('Rennen 13'!$D$3:$D$26,Teamauswertung!$C17,'Rennen 13'!$I$3:$I$26)</f>
        <v>0</v>
      </c>
      <c r="S17" s="1">
        <f>SUMIF('Rennen 14'!$D$3:$D$26,Teamauswertung!$C17,'Rennen 14'!$I$3:$I$26)</f>
        <v>0</v>
      </c>
      <c r="T17" s="1">
        <f>SUMIF('Rennen 15'!$D$3:$D$26,Teamauswertung!$C17,'Rennen 15'!$I$3:$I$26)</f>
        <v>0</v>
      </c>
      <c r="U17" s="1">
        <f>SUMIF('Rennen 16'!$D$3:$D$26,Teamauswertung!$C17,'Rennen 16'!$I$3:$I$26)</f>
        <v>0</v>
      </c>
      <c r="V17" s="1">
        <f>SUMIF('Rennen 17'!$D$3:$D$26,Teamauswertung!$C17,'Rennen 17'!$I$3:$I$26)</f>
        <v>0</v>
      </c>
      <c r="W17" s="1">
        <f>SUMIF('Rennen 18'!$D$3:$D$26,Teamauswertung!$C17,'Rennen 18'!$I$3:$I$26)</f>
        <v>0</v>
      </c>
      <c r="X17" s="1">
        <f>SUMIF('Rennen 19'!$D$3:$D$26,Teamauswertung!$C17,'Rennen 19'!$I$3:$I$26)</f>
        <v>0</v>
      </c>
      <c r="Y17" s="1">
        <f>SUMIF('Rennen 20'!$D$3:$D$26,Teamauswertung!$C17,'Rennen 20'!$I$3:$I$26)</f>
        <v>0</v>
      </c>
      <c r="Z17" s="1">
        <f>SUMIF('Rennen 21'!$D$3:$D$26,Teamauswertung!$C17,'Rennen 21'!$I$3:$I$26)</f>
        <v>0</v>
      </c>
      <c r="AA17" s="1">
        <f>SUMIF('Rennen 22'!$D$3:$D$26,Teamauswertung!$C17,'Rennen 22'!$I$3:$I$26)</f>
        <v>0</v>
      </c>
      <c r="AB17" s="1">
        <f>SUMIF('Rennen 23'!$D$3:$D$26,Teamauswertung!$C17,'Rennen 23'!$I$3:$I$26)</f>
        <v>0</v>
      </c>
      <c r="AC17" s="1">
        <f>SUMIF('Rennen 24'!$D$3:$D$26,Teamauswertung!$C17,'Rennen 24'!$I$3:$I$26)</f>
        <v>0</v>
      </c>
      <c r="AD17" s="1">
        <f>SUMIF('Rennen 25'!$D$3:$D$26,Teamauswertung!$C17,'Rennen 25'!$I$3:$I$26)</f>
        <v>0</v>
      </c>
      <c r="AE17" s="1">
        <f>SUMIF('Rennen 26'!$D$3:$D$26,Teamauswertung!$C17,'Rennen 26'!$I$3:$I$26)</f>
        <v>0</v>
      </c>
      <c r="AF17" s="1">
        <f>SUMIF('Rennen 27'!$D$3:$D$26,Teamauswertung!$C17,'Rennen 27'!$I$3:$I$26)</f>
        <v>0</v>
      </c>
      <c r="AG17" s="1">
        <f>SUMIF('Rennen 28'!$D$3:$D$26,Teamauswertung!$C17,'Rennen 28'!$I$3:$I$26)</f>
        <v>0</v>
      </c>
      <c r="AH17" s="1">
        <f>SUMIF('Rennen 29'!$D$3:$D$26,Teamauswertung!$C17,'Rennen 29'!$I$3:$I$26)</f>
        <v>0</v>
      </c>
      <c r="AI17" s="1">
        <f>SUMIF('Rennen 30'!$D$3:$D$26,Teamauswertung!$C17,'Rennen 30'!$I$3:$I$26)</f>
        <v>0</v>
      </c>
    </row>
    <row r="18" spans="2:35" x14ac:dyDescent="0.25">
      <c r="B18" s="12">
        <v>16</v>
      </c>
      <c r="C18" s="12"/>
      <c r="D18" s="12"/>
      <c r="E18" s="1">
        <f t="shared" si="0"/>
        <v>0</v>
      </c>
      <c r="F18" s="1">
        <f>SUMIF('Rennen 1'!$D$3:$D$26,Teamauswertung!$C18,'Rennen 1'!$I$3:$I$26)</f>
        <v>0</v>
      </c>
      <c r="G18" s="1">
        <f>SUMIF('Rennen 2'!$D$3:$D$26,Teamauswertung!$C18,'Rennen 2'!$I$3:$I$26)</f>
        <v>0</v>
      </c>
      <c r="H18" s="1">
        <f>SUMIF('Rennen 3'!$D$3:$D$26,Teamauswertung!$C18,'Rennen 3'!$I$3:$I$26)</f>
        <v>0</v>
      </c>
      <c r="I18" s="1">
        <f>SUMIF('Rennen 4'!$D$3:$D$26,Teamauswertung!$C18,'Rennen 4'!$I$3:$I$26)</f>
        <v>0</v>
      </c>
      <c r="J18" s="1">
        <f>SUMIF('Rennen 5'!$D$3:$D$26,Teamauswertung!$C18,'Rennen 5'!$I$3:$I$26)</f>
        <v>0</v>
      </c>
      <c r="K18" s="1">
        <f>SUMIF('Rennen 6'!$D$3:$D$26,Teamauswertung!$C18,'Rennen 6'!$I$3:$I$26)</f>
        <v>0</v>
      </c>
      <c r="L18" s="1">
        <f>SUMIF('Rennen 7'!$D$3:$D$26,Teamauswertung!$C18,'Rennen 7'!$I$3:$I$26)</f>
        <v>0</v>
      </c>
      <c r="M18" s="1">
        <f>SUMIF('Rennen 8'!$D$3:$D$26,Teamauswertung!$C18,'Rennen 8'!$I$3:$I$26)</f>
        <v>0</v>
      </c>
      <c r="N18" s="1">
        <f>SUMIF('Rennen 9'!$D$3:$D$26,Teamauswertung!$C18,'Rennen 9'!$I$3:$I$26)</f>
        <v>0</v>
      </c>
      <c r="O18" s="1">
        <f>SUMIF('Rennen 10'!$D$3:$D$26,Teamauswertung!$C18,'Rennen 10'!$I$3:$I$26)</f>
        <v>0</v>
      </c>
      <c r="P18" s="1">
        <f>SUMIF('Rennen 11'!$D$3:$D$26,Teamauswertung!$C18,'Rennen 11'!$I$3:$I$26)</f>
        <v>0</v>
      </c>
      <c r="Q18" s="1">
        <f>SUMIF('Rennen 12'!$D$3:$D$26,Teamauswertung!$C18,'Rennen 12'!$I$3:$I$26)</f>
        <v>0</v>
      </c>
      <c r="R18" s="1">
        <f>SUMIF('Rennen 13'!$D$3:$D$26,Teamauswertung!$C18,'Rennen 13'!$I$3:$I$26)</f>
        <v>0</v>
      </c>
      <c r="S18" s="1">
        <f>SUMIF('Rennen 14'!$D$3:$D$26,Teamauswertung!$C18,'Rennen 14'!$I$3:$I$26)</f>
        <v>0</v>
      </c>
      <c r="T18" s="1">
        <f>SUMIF('Rennen 15'!$D$3:$D$26,Teamauswertung!$C18,'Rennen 15'!$I$3:$I$26)</f>
        <v>0</v>
      </c>
      <c r="U18" s="1">
        <f>SUMIF('Rennen 16'!$D$3:$D$26,Teamauswertung!$C18,'Rennen 16'!$I$3:$I$26)</f>
        <v>0</v>
      </c>
      <c r="V18" s="1">
        <f>SUMIF('Rennen 17'!$D$3:$D$26,Teamauswertung!$C18,'Rennen 17'!$I$3:$I$26)</f>
        <v>0</v>
      </c>
      <c r="W18" s="1">
        <f>SUMIF('Rennen 18'!$D$3:$D$26,Teamauswertung!$C18,'Rennen 18'!$I$3:$I$26)</f>
        <v>0</v>
      </c>
      <c r="X18" s="1">
        <f>SUMIF('Rennen 19'!$D$3:$D$26,Teamauswertung!$C18,'Rennen 19'!$I$3:$I$26)</f>
        <v>0</v>
      </c>
      <c r="Y18" s="1">
        <f>SUMIF('Rennen 20'!$D$3:$D$26,Teamauswertung!$C18,'Rennen 20'!$I$3:$I$26)</f>
        <v>0</v>
      </c>
      <c r="Z18" s="1">
        <f>SUMIF('Rennen 21'!$D$3:$D$26,Teamauswertung!$C18,'Rennen 21'!$I$3:$I$26)</f>
        <v>0</v>
      </c>
      <c r="AA18" s="1">
        <f>SUMIF('Rennen 22'!$D$3:$D$26,Teamauswertung!$C18,'Rennen 22'!$I$3:$I$26)</f>
        <v>0</v>
      </c>
      <c r="AB18" s="1">
        <f>SUMIF('Rennen 23'!$D$3:$D$26,Teamauswertung!$C18,'Rennen 23'!$I$3:$I$26)</f>
        <v>0</v>
      </c>
      <c r="AC18" s="1">
        <f>SUMIF('Rennen 24'!$D$3:$D$26,Teamauswertung!$C18,'Rennen 24'!$I$3:$I$26)</f>
        <v>0</v>
      </c>
      <c r="AD18" s="1">
        <f>SUMIF('Rennen 25'!$D$3:$D$26,Teamauswertung!$C18,'Rennen 25'!$I$3:$I$26)</f>
        <v>0</v>
      </c>
      <c r="AE18" s="1">
        <f>SUMIF('Rennen 26'!$D$3:$D$26,Teamauswertung!$C18,'Rennen 26'!$I$3:$I$26)</f>
        <v>0</v>
      </c>
      <c r="AF18" s="1">
        <f>SUMIF('Rennen 27'!$D$3:$D$26,Teamauswertung!$C18,'Rennen 27'!$I$3:$I$26)</f>
        <v>0</v>
      </c>
      <c r="AG18" s="1">
        <f>SUMIF('Rennen 28'!$D$3:$D$26,Teamauswertung!$C18,'Rennen 28'!$I$3:$I$26)</f>
        <v>0</v>
      </c>
      <c r="AH18" s="1">
        <f>SUMIF('Rennen 29'!$D$3:$D$26,Teamauswertung!$C18,'Rennen 29'!$I$3:$I$26)</f>
        <v>0</v>
      </c>
      <c r="AI18" s="1">
        <f>SUMIF('Rennen 30'!$D$3:$D$26,Teamauswertung!$C18,'Rennen 30'!$I$3:$I$26)</f>
        <v>0</v>
      </c>
    </row>
    <row r="19" spans="2:35" x14ac:dyDescent="0.25">
      <c r="B19" s="12">
        <v>17</v>
      </c>
      <c r="C19" s="12"/>
      <c r="D19" s="12"/>
      <c r="E19" s="1">
        <f t="shared" si="0"/>
        <v>0</v>
      </c>
      <c r="F19" s="1">
        <f>SUMIF('Rennen 1'!$D$3:$D$26,Teamauswertung!$C19,'Rennen 1'!$I$3:$I$26)</f>
        <v>0</v>
      </c>
      <c r="G19" s="1">
        <f>SUMIF('Rennen 2'!$D$3:$D$26,Teamauswertung!$C19,'Rennen 2'!$I$3:$I$26)</f>
        <v>0</v>
      </c>
      <c r="H19" s="1">
        <f>SUMIF('Rennen 3'!$D$3:$D$26,Teamauswertung!$C19,'Rennen 3'!$I$3:$I$26)</f>
        <v>0</v>
      </c>
      <c r="I19" s="1">
        <f>SUMIF('Rennen 4'!$D$3:$D$26,Teamauswertung!$C19,'Rennen 4'!$I$3:$I$26)</f>
        <v>0</v>
      </c>
      <c r="J19" s="1">
        <f>SUMIF('Rennen 5'!$D$3:$D$26,Teamauswertung!$C19,'Rennen 5'!$I$3:$I$26)</f>
        <v>0</v>
      </c>
      <c r="K19" s="1">
        <f>SUMIF('Rennen 6'!$D$3:$D$26,Teamauswertung!$C19,'Rennen 6'!$I$3:$I$26)</f>
        <v>0</v>
      </c>
      <c r="L19" s="1">
        <f>SUMIF('Rennen 7'!$D$3:$D$26,Teamauswertung!$C19,'Rennen 7'!$I$3:$I$26)</f>
        <v>0</v>
      </c>
      <c r="M19" s="1">
        <f>SUMIF('Rennen 8'!$D$3:$D$26,Teamauswertung!$C19,'Rennen 8'!$I$3:$I$26)</f>
        <v>0</v>
      </c>
      <c r="N19" s="1">
        <f>SUMIF('Rennen 9'!$D$3:$D$26,Teamauswertung!$C19,'Rennen 9'!$I$3:$I$26)</f>
        <v>0</v>
      </c>
      <c r="O19" s="1">
        <f>SUMIF('Rennen 10'!$D$3:$D$26,Teamauswertung!$C19,'Rennen 10'!$I$3:$I$26)</f>
        <v>0</v>
      </c>
      <c r="P19" s="1">
        <f>SUMIF('Rennen 11'!$D$3:$D$26,Teamauswertung!$C19,'Rennen 11'!$I$3:$I$26)</f>
        <v>0</v>
      </c>
      <c r="Q19" s="1">
        <f>SUMIF('Rennen 12'!$D$3:$D$26,Teamauswertung!$C19,'Rennen 12'!$I$3:$I$26)</f>
        <v>0</v>
      </c>
      <c r="R19" s="1">
        <f>SUMIF('Rennen 13'!$D$3:$D$26,Teamauswertung!$C19,'Rennen 13'!$I$3:$I$26)</f>
        <v>0</v>
      </c>
      <c r="S19" s="1">
        <f>SUMIF('Rennen 14'!$D$3:$D$26,Teamauswertung!$C19,'Rennen 14'!$I$3:$I$26)</f>
        <v>0</v>
      </c>
      <c r="T19" s="1">
        <f>SUMIF('Rennen 15'!$D$3:$D$26,Teamauswertung!$C19,'Rennen 15'!$I$3:$I$26)</f>
        <v>0</v>
      </c>
      <c r="U19" s="1">
        <f>SUMIF('Rennen 16'!$D$3:$D$26,Teamauswertung!$C19,'Rennen 16'!$I$3:$I$26)</f>
        <v>0</v>
      </c>
      <c r="V19" s="1">
        <f>SUMIF('Rennen 17'!$D$3:$D$26,Teamauswertung!$C19,'Rennen 17'!$I$3:$I$26)</f>
        <v>0</v>
      </c>
      <c r="W19" s="1">
        <f>SUMIF('Rennen 18'!$D$3:$D$26,Teamauswertung!$C19,'Rennen 18'!$I$3:$I$26)</f>
        <v>0</v>
      </c>
      <c r="X19" s="1">
        <f>SUMIF('Rennen 19'!$D$3:$D$26,Teamauswertung!$C19,'Rennen 19'!$I$3:$I$26)</f>
        <v>0</v>
      </c>
      <c r="Y19" s="1">
        <f>SUMIF('Rennen 20'!$D$3:$D$26,Teamauswertung!$C19,'Rennen 20'!$I$3:$I$26)</f>
        <v>0</v>
      </c>
      <c r="Z19" s="1">
        <f>SUMIF('Rennen 21'!$D$3:$D$26,Teamauswertung!$C19,'Rennen 21'!$I$3:$I$26)</f>
        <v>0</v>
      </c>
      <c r="AA19" s="1">
        <f>SUMIF('Rennen 22'!$D$3:$D$26,Teamauswertung!$C19,'Rennen 22'!$I$3:$I$26)</f>
        <v>0</v>
      </c>
      <c r="AB19" s="1">
        <f>SUMIF('Rennen 23'!$D$3:$D$26,Teamauswertung!$C19,'Rennen 23'!$I$3:$I$26)</f>
        <v>0</v>
      </c>
      <c r="AC19" s="1">
        <f>SUMIF('Rennen 24'!$D$3:$D$26,Teamauswertung!$C19,'Rennen 24'!$I$3:$I$26)</f>
        <v>0</v>
      </c>
      <c r="AD19" s="1">
        <f>SUMIF('Rennen 25'!$D$3:$D$26,Teamauswertung!$C19,'Rennen 25'!$I$3:$I$26)</f>
        <v>0</v>
      </c>
      <c r="AE19" s="1">
        <f>SUMIF('Rennen 26'!$D$3:$D$26,Teamauswertung!$C19,'Rennen 26'!$I$3:$I$26)</f>
        <v>0</v>
      </c>
      <c r="AF19" s="1">
        <f>SUMIF('Rennen 27'!$D$3:$D$26,Teamauswertung!$C19,'Rennen 27'!$I$3:$I$26)</f>
        <v>0</v>
      </c>
      <c r="AG19" s="1">
        <f>SUMIF('Rennen 28'!$D$3:$D$26,Teamauswertung!$C19,'Rennen 28'!$I$3:$I$26)</f>
        <v>0</v>
      </c>
      <c r="AH19" s="1">
        <f>SUMIF('Rennen 29'!$D$3:$D$26,Teamauswertung!$C19,'Rennen 29'!$I$3:$I$26)</f>
        <v>0</v>
      </c>
      <c r="AI19" s="1">
        <f>SUMIF('Rennen 30'!$D$3:$D$26,Teamauswertung!$C19,'Rennen 30'!$I$3:$I$26)</f>
        <v>0</v>
      </c>
    </row>
    <row r="20" spans="2:35" x14ac:dyDescent="0.25">
      <c r="B20" s="12">
        <v>18</v>
      </c>
      <c r="C20" s="12"/>
      <c r="D20" s="12"/>
      <c r="E20" s="1">
        <f t="shared" si="0"/>
        <v>0</v>
      </c>
      <c r="F20" s="1">
        <f>SUMIF('Rennen 1'!$D$3:$D$26,Teamauswertung!$C20,'Rennen 1'!$I$3:$I$26)</f>
        <v>0</v>
      </c>
      <c r="G20" s="1">
        <f>SUMIF('Rennen 2'!$D$3:$D$26,Teamauswertung!$C20,'Rennen 2'!$I$3:$I$26)</f>
        <v>0</v>
      </c>
      <c r="H20" s="1">
        <f>SUMIF('Rennen 3'!$D$3:$D$26,Teamauswertung!$C20,'Rennen 3'!$I$3:$I$26)</f>
        <v>0</v>
      </c>
      <c r="I20" s="1">
        <f>SUMIF('Rennen 4'!$D$3:$D$26,Teamauswertung!$C20,'Rennen 4'!$I$3:$I$26)</f>
        <v>0</v>
      </c>
      <c r="J20" s="1">
        <f>SUMIF('Rennen 5'!$D$3:$D$26,Teamauswertung!$C20,'Rennen 5'!$I$3:$I$26)</f>
        <v>0</v>
      </c>
      <c r="K20" s="1">
        <f>SUMIF('Rennen 6'!$D$3:$D$26,Teamauswertung!$C20,'Rennen 6'!$I$3:$I$26)</f>
        <v>0</v>
      </c>
      <c r="L20" s="1">
        <f>SUMIF('Rennen 7'!$D$3:$D$26,Teamauswertung!$C20,'Rennen 7'!$I$3:$I$26)</f>
        <v>0</v>
      </c>
      <c r="M20" s="1">
        <f>SUMIF('Rennen 8'!$D$3:$D$26,Teamauswertung!$C20,'Rennen 8'!$I$3:$I$26)</f>
        <v>0</v>
      </c>
      <c r="N20" s="1">
        <f>SUMIF('Rennen 9'!$D$3:$D$26,Teamauswertung!$C20,'Rennen 9'!$I$3:$I$26)</f>
        <v>0</v>
      </c>
      <c r="O20" s="1">
        <f>SUMIF('Rennen 10'!$D$3:$D$26,Teamauswertung!$C20,'Rennen 10'!$I$3:$I$26)</f>
        <v>0</v>
      </c>
      <c r="P20" s="1">
        <f>SUMIF('Rennen 11'!$D$3:$D$26,Teamauswertung!$C20,'Rennen 11'!$I$3:$I$26)</f>
        <v>0</v>
      </c>
      <c r="Q20" s="1">
        <f>SUMIF('Rennen 12'!$D$3:$D$26,Teamauswertung!$C20,'Rennen 12'!$I$3:$I$26)</f>
        <v>0</v>
      </c>
      <c r="R20" s="1">
        <f>SUMIF('Rennen 13'!$D$3:$D$26,Teamauswertung!$C20,'Rennen 13'!$I$3:$I$26)</f>
        <v>0</v>
      </c>
      <c r="S20" s="1">
        <f>SUMIF('Rennen 14'!$D$3:$D$26,Teamauswertung!$C20,'Rennen 14'!$I$3:$I$26)</f>
        <v>0</v>
      </c>
      <c r="T20" s="1">
        <f>SUMIF('Rennen 15'!$D$3:$D$26,Teamauswertung!$C20,'Rennen 15'!$I$3:$I$26)</f>
        <v>0</v>
      </c>
      <c r="U20" s="1">
        <f>SUMIF('Rennen 16'!$D$3:$D$26,Teamauswertung!$C20,'Rennen 16'!$I$3:$I$26)</f>
        <v>0</v>
      </c>
      <c r="V20" s="1">
        <f>SUMIF('Rennen 17'!$D$3:$D$26,Teamauswertung!$C20,'Rennen 17'!$I$3:$I$26)</f>
        <v>0</v>
      </c>
      <c r="W20" s="1">
        <f>SUMIF('Rennen 18'!$D$3:$D$26,Teamauswertung!$C20,'Rennen 18'!$I$3:$I$26)</f>
        <v>0</v>
      </c>
      <c r="X20" s="1">
        <f>SUMIF('Rennen 19'!$D$3:$D$26,Teamauswertung!$C20,'Rennen 19'!$I$3:$I$26)</f>
        <v>0</v>
      </c>
      <c r="Y20" s="1">
        <f>SUMIF('Rennen 20'!$D$3:$D$26,Teamauswertung!$C20,'Rennen 20'!$I$3:$I$26)</f>
        <v>0</v>
      </c>
      <c r="Z20" s="1">
        <f>SUMIF('Rennen 21'!$D$3:$D$26,Teamauswertung!$C20,'Rennen 21'!$I$3:$I$26)</f>
        <v>0</v>
      </c>
      <c r="AA20" s="1">
        <f>SUMIF('Rennen 22'!$D$3:$D$26,Teamauswertung!$C20,'Rennen 22'!$I$3:$I$26)</f>
        <v>0</v>
      </c>
      <c r="AB20" s="1">
        <f>SUMIF('Rennen 23'!$D$3:$D$26,Teamauswertung!$C20,'Rennen 23'!$I$3:$I$26)</f>
        <v>0</v>
      </c>
      <c r="AC20" s="1">
        <f>SUMIF('Rennen 24'!$D$3:$D$26,Teamauswertung!$C20,'Rennen 24'!$I$3:$I$26)</f>
        <v>0</v>
      </c>
      <c r="AD20" s="1">
        <f>SUMIF('Rennen 25'!$D$3:$D$26,Teamauswertung!$C20,'Rennen 25'!$I$3:$I$26)</f>
        <v>0</v>
      </c>
      <c r="AE20" s="1">
        <f>SUMIF('Rennen 26'!$D$3:$D$26,Teamauswertung!$C20,'Rennen 26'!$I$3:$I$26)</f>
        <v>0</v>
      </c>
      <c r="AF20" s="1">
        <f>SUMIF('Rennen 27'!$D$3:$D$26,Teamauswertung!$C20,'Rennen 27'!$I$3:$I$26)</f>
        <v>0</v>
      </c>
      <c r="AG20" s="1">
        <f>SUMIF('Rennen 28'!$D$3:$D$26,Teamauswertung!$C20,'Rennen 28'!$I$3:$I$26)</f>
        <v>0</v>
      </c>
      <c r="AH20" s="1">
        <f>SUMIF('Rennen 29'!$D$3:$D$26,Teamauswertung!$C20,'Rennen 29'!$I$3:$I$26)</f>
        <v>0</v>
      </c>
      <c r="AI20" s="1">
        <f>SUMIF('Rennen 30'!$D$3:$D$26,Teamauswertung!$C20,'Rennen 30'!$I$3:$I$26)</f>
        <v>0</v>
      </c>
    </row>
    <row r="21" spans="2:35" x14ac:dyDescent="0.25">
      <c r="B21" s="12">
        <v>19</v>
      </c>
      <c r="C21" s="12"/>
      <c r="D21" s="12"/>
      <c r="E21" s="1">
        <f t="shared" si="0"/>
        <v>0</v>
      </c>
      <c r="F21" s="1">
        <f>SUMIF('Rennen 1'!$D$3:$D$26,Teamauswertung!$C21,'Rennen 1'!$I$3:$I$26)</f>
        <v>0</v>
      </c>
      <c r="G21" s="1">
        <f>SUMIF('Rennen 2'!$D$3:$D$26,Teamauswertung!$C21,'Rennen 2'!$I$3:$I$26)</f>
        <v>0</v>
      </c>
      <c r="H21" s="1">
        <f>SUMIF('Rennen 3'!$D$3:$D$26,Teamauswertung!$C21,'Rennen 3'!$I$3:$I$26)</f>
        <v>0</v>
      </c>
      <c r="I21" s="1">
        <f>SUMIF('Rennen 4'!$D$3:$D$26,Teamauswertung!$C21,'Rennen 4'!$I$3:$I$26)</f>
        <v>0</v>
      </c>
      <c r="J21" s="1">
        <f>SUMIF('Rennen 5'!$D$3:$D$26,Teamauswertung!$C21,'Rennen 5'!$I$3:$I$26)</f>
        <v>0</v>
      </c>
      <c r="K21" s="1">
        <f>SUMIF('Rennen 6'!$D$3:$D$26,Teamauswertung!$C21,'Rennen 6'!$I$3:$I$26)</f>
        <v>0</v>
      </c>
      <c r="L21" s="1">
        <f>SUMIF('Rennen 7'!$D$3:$D$26,Teamauswertung!$C21,'Rennen 7'!$I$3:$I$26)</f>
        <v>0</v>
      </c>
      <c r="M21" s="1">
        <f>SUMIF('Rennen 8'!$D$3:$D$26,Teamauswertung!$C21,'Rennen 8'!$I$3:$I$26)</f>
        <v>0</v>
      </c>
      <c r="N21" s="1">
        <f>SUMIF('Rennen 9'!$D$3:$D$26,Teamauswertung!$C21,'Rennen 9'!$I$3:$I$26)</f>
        <v>0</v>
      </c>
      <c r="O21" s="1">
        <f>SUMIF('Rennen 10'!$D$3:$D$26,Teamauswertung!$C21,'Rennen 10'!$I$3:$I$26)</f>
        <v>0</v>
      </c>
      <c r="P21" s="1">
        <f>SUMIF('Rennen 11'!$D$3:$D$26,Teamauswertung!$C21,'Rennen 11'!$I$3:$I$26)</f>
        <v>0</v>
      </c>
      <c r="Q21" s="1">
        <f>SUMIF('Rennen 12'!$D$3:$D$26,Teamauswertung!$C21,'Rennen 12'!$I$3:$I$26)</f>
        <v>0</v>
      </c>
      <c r="R21" s="1">
        <f>SUMIF('Rennen 13'!$D$3:$D$26,Teamauswertung!$C21,'Rennen 13'!$I$3:$I$26)</f>
        <v>0</v>
      </c>
      <c r="S21" s="1">
        <f>SUMIF('Rennen 14'!$D$3:$D$26,Teamauswertung!$C21,'Rennen 14'!$I$3:$I$26)</f>
        <v>0</v>
      </c>
      <c r="T21" s="1">
        <f>SUMIF('Rennen 15'!$D$3:$D$26,Teamauswertung!$C21,'Rennen 15'!$I$3:$I$26)</f>
        <v>0</v>
      </c>
      <c r="U21" s="1">
        <f>SUMIF('Rennen 16'!$D$3:$D$26,Teamauswertung!$C21,'Rennen 16'!$I$3:$I$26)</f>
        <v>0</v>
      </c>
      <c r="V21" s="1">
        <f>SUMIF('Rennen 17'!$D$3:$D$26,Teamauswertung!$C21,'Rennen 17'!$I$3:$I$26)</f>
        <v>0</v>
      </c>
      <c r="W21" s="1">
        <f>SUMIF('Rennen 18'!$D$3:$D$26,Teamauswertung!$C21,'Rennen 18'!$I$3:$I$26)</f>
        <v>0</v>
      </c>
      <c r="X21" s="1">
        <f>SUMIF('Rennen 19'!$D$3:$D$26,Teamauswertung!$C21,'Rennen 19'!$I$3:$I$26)</f>
        <v>0</v>
      </c>
      <c r="Y21" s="1">
        <f>SUMIF('Rennen 20'!$D$3:$D$26,Teamauswertung!$C21,'Rennen 20'!$I$3:$I$26)</f>
        <v>0</v>
      </c>
      <c r="Z21" s="1">
        <f>SUMIF('Rennen 21'!$D$3:$D$26,Teamauswertung!$C21,'Rennen 21'!$I$3:$I$26)</f>
        <v>0</v>
      </c>
      <c r="AA21" s="1">
        <f>SUMIF('Rennen 22'!$D$3:$D$26,Teamauswertung!$C21,'Rennen 22'!$I$3:$I$26)</f>
        <v>0</v>
      </c>
      <c r="AB21" s="1">
        <f>SUMIF('Rennen 23'!$D$3:$D$26,Teamauswertung!$C21,'Rennen 23'!$I$3:$I$26)</f>
        <v>0</v>
      </c>
      <c r="AC21" s="1">
        <f>SUMIF('Rennen 24'!$D$3:$D$26,Teamauswertung!$C21,'Rennen 24'!$I$3:$I$26)</f>
        <v>0</v>
      </c>
      <c r="AD21" s="1">
        <f>SUMIF('Rennen 25'!$D$3:$D$26,Teamauswertung!$C21,'Rennen 25'!$I$3:$I$26)</f>
        <v>0</v>
      </c>
      <c r="AE21" s="1">
        <f>SUMIF('Rennen 26'!$D$3:$D$26,Teamauswertung!$C21,'Rennen 26'!$I$3:$I$26)</f>
        <v>0</v>
      </c>
      <c r="AF21" s="1">
        <f>SUMIF('Rennen 27'!$D$3:$D$26,Teamauswertung!$C21,'Rennen 27'!$I$3:$I$26)</f>
        <v>0</v>
      </c>
      <c r="AG21" s="1">
        <f>SUMIF('Rennen 28'!$D$3:$D$26,Teamauswertung!$C21,'Rennen 28'!$I$3:$I$26)</f>
        <v>0</v>
      </c>
      <c r="AH21" s="1">
        <f>SUMIF('Rennen 29'!$D$3:$D$26,Teamauswertung!$C21,'Rennen 29'!$I$3:$I$26)</f>
        <v>0</v>
      </c>
      <c r="AI21" s="1">
        <f>SUMIF('Rennen 30'!$D$3:$D$26,Teamauswertung!$C21,'Rennen 30'!$I$3:$I$26)</f>
        <v>0</v>
      </c>
    </row>
    <row r="22" spans="2:35" x14ac:dyDescent="0.25">
      <c r="B22" s="12">
        <v>20</v>
      </c>
      <c r="C22" s="12"/>
      <c r="D22" s="12"/>
      <c r="E22" s="1">
        <f t="shared" si="0"/>
        <v>0</v>
      </c>
      <c r="F22" s="1">
        <f>SUMIF('Rennen 1'!$D$3:$D$26,Teamauswertung!$C22,'Rennen 1'!$I$3:$I$26)</f>
        <v>0</v>
      </c>
      <c r="G22" s="1">
        <f>SUMIF('Rennen 2'!$D$3:$D$26,Teamauswertung!$C22,'Rennen 2'!$I$3:$I$26)</f>
        <v>0</v>
      </c>
      <c r="H22" s="1">
        <f>SUMIF('Rennen 3'!$D$3:$D$26,Teamauswertung!$C22,'Rennen 3'!$I$3:$I$26)</f>
        <v>0</v>
      </c>
      <c r="I22" s="1">
        <f>SUMIF('Rennen 4'!$D$3:$D$26,Teamauswertung!$C22,'Rennen 4'!$I$3:$I$26)</f>
        <v>0</v>
      </c>
      <c r="J22" s="1">
        <f>SUMIF('Rennen 5'!$D$3:$D$26,Teamauswertung!$C22,'Rennen 5'!$I$3:$I$26)</f>
        <v>0</v>
      </c>
      <c r="K22" s="1">
        <f>SUMIF('Rennen 6'!$D$3:$D$26,Teamauswertung!$C22,'Rennen 6'!$I$3:$I$26)</f>
        <v>0</v>
      </c>
      <c r="L22" s="1">
        <f>SUMIF('Rennen 7'!$D$3:$D$26,Teamauswertung!$C22,'Rennen 7'!$I$3:$I$26)</f>
        <v>0</v>
      </c>
      <c r="M22" s="1">
        <f>SUMIF('Rennen 8'!$D$3:$D$26,Teamauswertung!$C22,'Rennen 8'!$I$3:$I$26)</f>
        <v>0</v>
      </c>
      <c r="N22" s="1">
        <f>SUMIF('Rennen 9'!$D$3:$D$26,Teamauswertung!$C22,'Rennen 9'!$I$3:$I$26)</f>
        <v>0</v>
      </c>
      <c r="O22" s="1">
        <f>SUMIF('Rennen 10'!$D$3:$D$26,Teamauswertung!$C22,'Rennen 10'!$I$3:$I$26)</f>
        <v>0</v>
      </c>
      <c r="P22" s="1">
        <f>SUMIF('Rennen 11'!$D$3:$D$26,Teamauswertung!$C22,'Rennen 11'!$I$3:$I$26)</f>
        <v>0</v>
      </c>
      <c r="Q22" s="1">
        <f>SUMIF('Rennen 12'!$D$3:$D$26,Teamauswertung!$C22,'Rennen 12'!$I$3:$I$26)</f>
        <v>0</v>
      </c>
      <c r="R22" s="1">
        <f>SUMIF('Rennen 13'!$D$3:$D$26,Teamauswertung!$C22,'Rennen 13'!$I$3:$I$26)</f>
        <v>0</v>
      </c>
      <c r="S22" s="1">
        <f>SUMIF('Rennen 14'!$D$3:$D$26,Teamauswertung!$C22,'Rennen 14'!$I$3:$I$26)</f>
        <v>0</v>
      </c>
      <c r="T22" s="1">
        <f>SUMIF('Rennen 15'!$D$3:$D$26,Teamauswertung!$C22,'Rennen 15'!$I$3:$I$26)</f>
        <v>0</v>
      </c>
      <c r="U22" s="1">
        <f>SUMIF('Rennen 16'!$D$3:$D$26,Teamauswertung!$C22,'Rennen 16'!$I$3:$I$26)</f>
        <v>0</v>
      </c>
      <c r="V22" s="1">
        <f>SUMIF('Rennen 17'!$D$3:$D$26,Teamauswertung!$C22,'Rennen 17'!$I$3:$I$26)</f>
        <v>0</v>
      </c>
      <c r="W22" s="1">
        <f>SUMIF('Rennen 18'!$D$3:$D$26,Teamauswertung!$C22,'Rennen 18'!$I$3:$I$26)</f>
        <v>0</v>
      </c>
      <c r="X22" s="1">
        <f>SUMIF('Rennen 19'!$D$3:$D$26,Teamauswertung!$C22,'Rennen 19'!$I$3:$I$26)</f>
        <v>0</v>
      </c>
      <c r="Y22" s="1">
        <f>SUMIF('Rennen 20'!$D$3:$D$26,Teamauswertung!$C22,'Rennen 20'!$I$3:$I$26)</f>
        <v>0</v>
      </c>
      <c r="Z22" s="1">
        <f>SUMIF('Rennen 21'!$D$3:$D$26,Teamauswertung!$C22,'Rennen 21'!$I$3:$I$26)</f>
        <v>0</v>
      </c>
      <c r="AA22" s="1">
        <f>SUMIF('Rennen 22'!$D$3:$D$26,Teamauswertung!$C22,'Rennen 22'!$I$3:$I$26)</f>
        <v>0</v>
      </c>
      <c r="AB22" s="1">
        <f>SUMIF('Rennen 23'!$D$3:$D$26,Teamauswertung!$C22,'Rennen 23'!$I$3:$I$26)</f>
        <v>0</v>
      </c>
      <c r="AC22" s="1">
        <f>SUMIF('Rennen 24'!$D$3:$D$26,Teamauswertung!$C22,'Rennen 24'!$I$3:$I$26)</f>
        <v>0</v>
      </c>
      <c r="AD22" s="1">
        <f>SUMIF('Rennen 25'!$D$3:$D$26,Teamauswertung!$C22,'Rennen 25'!$I$3:$I$26)</f>
        <v>0</v>
      </c>
      <c r="AE22" s="1">
        <f>SUMIF('Rennen 26'!$D$3:$D$26,Teamauswertung!$C22,'Rennen 26'!$I$3:$I$26)</f>
        <v>0</v>
      </c>
      <c r="AF22" s="1">
        <f>SUMIF('Rennen 27'!$D$3:$D$26,Teamauswertung!$C22,'Rennen 27'!$I$3:$I$26)</f>
        <v>0</v>
      </c>
      <c r="AG22" s="1">
        <f>SUMIF('Rennen 28'!$D$3:$D$26,Teamauswertung!$C22,'Rennen 28'!$I$3:$I$26)</f>
        <v>0</v>
      </c>
      <c r="AH22" s="1">
        <f>SUMIF('Rennen 29'!$D$3:$D$26,Teamauswertung!$C22,'Rennen 29'!$I$3:$I$26)</f>
        <v>0</v>
      </c>
      <c r="AI22" s="1">
        <f>SUMIF('Rennen 30'!$D$3:$D$26,Teamauswertung!$C22,'Rennen 30'!$I$3:$I$26)</f>
        <v>0</v>
      </c>
    </row>
    <row r="23" spans="2:35" x14ac:dyDescent="0.25">
      <c r="B23" s="12">
        <v>21</v>
      </c>
      <c r="C23" s="12"/>
      <c r="D23" s="12"/>
      <c r="E23" s="1">
        <f t="shared" si="0"/>
        <v>0</v>
      </c>
      <c r="F23" s="1">
        <f>SUMIF('Rennen 1'!$D$3:$D$26,Teamauswertung!$C23,'Rennen 1'!$I$3:$I$26)</f>
        <v>0</v>
      </c>
      <c r="G23" s="1">
        <f>SUMIF('Rennen 2'!$D$3:$D$26,Teamauswertung!$C23,'Rennen 2'!$I$3:$I$26)</f>
        <v>0</v>
      </c>
      <c r="H23" s="1">
        <f>SUMIF('Rennen 3'!$D$3:$D$26,Teamauswertung!$C23,'Rennen 3'!$I$3:$I$26)</f>
        <v>0</v>
      </c>
      <c r="I23" s="1">
        <f>SUMIF('Rennen 4'!$D$3:$D$26,Teamauswertung!$C23,'Rennen 4'!$I$3:$I$26)</f>
        <v>0</v>
      </c>
      <c r="J23" s="1">
        <f>SUMIF('Rennen 5'!$D$3:$D$26,Teamauswertung!$C23,'Rennen 5'!$I$3:$I$26)</f>
        <v>0</v>
      </c>
      <c r="K23" s="1">
        <f>SUMIF('Rennen 6'!$D$3:$D$26,Teamauswertung!$C23,'Rennen 6'!$I$3:$I$26)</f>
        <v>0</v>
      </c>
      <c r="L23" s="1">
        <f>SUMIF('Rennen 7'!$D$3:$D$26,Teamauswertung!$C23,'Rennen 7'!$I$3:$I$26)</f>
        <v>0</v>
      </c>
      <c r="M23" s="1">
        <f>SUMIF('Rennen 8'!$D$3:$D$26,Teamauswertung!$C23,'Rennen 8'!$I$3:$I$26)</f>
        <v>0</v>
      </c>
      <c r="N23" s="1">
        <f>SUMIF('Rennen 9'!$D$3:$D$26,Teamauswertung!$C23,'Rennen 9'!$I$3:$I$26)</f>
        <v>0</v>
      </c>
      <c r="O23" s="1">
        <f>SUMIF('Rennen 10'!$D$3:$D$26,Teamauswertung!$C23,'Rennen 10'!$I$3:$I$26)</f>
        <v>0</v>
      </c>
      <c r="P23" s="1">
        <f>SUMIF('Rennen 11'!$D$3:$D$26,Teamauswertung!$C23,'Rennen 11'!$I$3:$I$26)</f>
        <v>0</v>
      </c>
      <c r="Q23" s="1">
        <f>SUMIF('Rennen 12'!$D$3:$D$26,Teamauswertung!$C23,'Rennen 12'!$I$3:$I$26)</f>
        <v>0</v>
      </c>
      <c r="R23" s="1">
        <f>SUMIF('Rennen 13'!$D$3:$D$26,Teamauswertung!$C23,'Rennen 13'!$I$3:$I$26)</f>
        <v>0</v>
      </c>
      <c r="S23" s="1">
        <f>SUMIF('Rennen 14'!$D$3:$D$26,Teamauswertung!$C23,'Rennen 14'!$I$3:$I$26)</f>
        <v>0</v>
      </c>
      <c r="T23" s="1">
        <f>SUMIF('Rennen 15'!$D$3:$D$26,Teamauswertung!$C23,'Rennen 15'!$I$3:$I$26)</f>
        <v>0</v>
      </c>
      <c r="U23" s="1">
        <f>SUMIF('Rennen 16'!$D$3:$D$26,Teamauswertung!$C23,'Rennen 16'!$I$3:$I$26)</f>
        <v>0</v>
      </c>
      <c r="V23" s="1">
        <f>SUMIF('Rennen 17'!$D$3:$D$26,Teamauswertung!$C23,'Rennen 17'!$I$3:$I$26)</f>
        <v>0</v>
      </c>
      <c r="W23" s="1">
        <f>SUMIF('Rennen 18'!$D$3:$D$26,Teamauswertung!$C23,'Rennen 18'!$I$3:$I$26)</f>
        <v>0</v>
      </c>
      <c r="X23" s="1">
        <f>SUMIF('Rennen 19'!$D$3:$D$26,Teamauswertung!$C23,'Rennen 19'!$I$3:$I$26)</f>
        <v>0</v>
      </c>
      <c r="Y23" s="1">
        <f>SUMIF('Rennen 20'!$D$3:$D$26,Teamauswertung!$C23,'Rennen 20'!$I$3:$I$26)</f>
        <v>0</v>
      </c>
      <c r="Z23" s="1">
        <f>SUMIF('Rennen 21'!$D$3:$D$26,Teamauswertung!$C23,'Rennen 21'!$I$3:$I$26)</f>
        <v>0</v>
      </c>
      <c r="AA23" s="1">
        <f>SUMIF('Rennen 22'!$D$3:$D$26,Teamauswertung!$C23,'Rennen 22'!$I$3:$I$26)</f>
        <v>0</v>
      </c>
      <c r="AB23" s="1">
        <f>SUMIF('Rennen 23'!$D$3:$D$26,Teamauswertung!$C23,'Rennen 23'!$I$3:$I$26)</f>
        <v>0</v>
      </c>
      <c r="AC23" s="1">
        <f>SUMIF('Rennen 24'!$D$3:$D$26,Teamauswertung!$C23,'Rennen 24'!$I$3:$I$26)</f>
        <v>0</v>
      </c>
      <c r="AD23" s="1">
        <f>SUMIF('Rennen 25'!$D$3:$D$26,Teamauswertung!$C23,'Rennen 25'!$I$3:$I$26)</f>
        <v>0</v>
      </c>
      <c r="AE23" s="1">
        <f>SUMIF('Rennen 26'!$D$3:$D$26,Teamauswertung!$C23,'Rennen 26'!$I$3:$I$26)</f>
        <v>0</v>
      </c>
      <c r="AF23" s="1">
        <f>SUMIF('Rennen 27'!$D$3:$D$26,Teamauswertung!$C23,'Rennen 27'!$I$3:$I$26)</f>
        <v>0</v>
      </c>
      <c r="AG23" s="1">
        <f>SUMIF('Rennen 28'!$D$3:$D$26,Teamauswertung!$C23,'Rennen 28'!$I$3:$I$26)</f>
        <v>0</v>
      </c>
      <c r="AH23" s="1">
        <f>SUMIF('Rennen 29'!$D$3:$D$26,Teamauswertung!$C23,'Rennen 29'!$I$3:$I$26)</f>
        <v>0</v>
      </c>
      <c r="AI23" s="1">
        <f>SUMIF('Rennen 30'!$D$3:$D$26,Teamauswertung!$C23,'Rennen 30'!$I$3:$I$26)</f>
        <v>0</v>
      </c>
    </row>
    <row r="24" spans="2:35" x14ac:dyDescent="0.25">
      <c r="B24" s="12">
        <v>22</v>
      </c>
      <c r="C24" s="12"/>
      <c r="D24" s="12"/>
      <c r="E24" s="1">
        <f t="shared" si="0"/>
        <v>0</v>
      </c>
      <c r="F24" s="1">
        <f>SUMIF('Rennen 1'!$D$3:$D$26,Teamauswertung!$C24,'Rennen 1'!$I$3:$I$26)</f>
        <v>0</v>
      </c>
      <c r="G24" s="1">
        <f>SUMIF('Rennen 2'!$D$3:$D$26,Teamauswertung!$C24,'Rennen 2'!$I$3:$I$26)</f>
        <v>0</v>
      </c>
      <c r="H24" s="1">
        <f>SUMIF('Rennen 3'!$D$3:$D$26,Teamauswertung!$C24,'Rennen 3'!$I$3:$I$26)</f>
        <v>0</v>
      </c>
      <c r="I24" s="1">
        <f>SUMIF('Rennen 4'!$D$3:$D$26,Teamauswertung!$C24,'Rennen 4'!$I$3:$I$26)</f>
        <v>0</v>
      </c>
      <c r="J24" s="1">
        <f>SUMIF('Rennen 5'!$D$3:$D$26,Teamauswertung!$C24,'Rennen 5'!$I$3:$I$26)</f>
        <v>0</v>
      </c>
      <c r="K24" s="1">
        <f>SUMIF('Rennen 6'!$D$3:$D$26,Teamauswertung!$C24,'Rennen 6'!$I$3:$I$26)</f>
        <v>0</v>
      </c>
      <c r="L24" s="1">
        <f>SUMIF('Rennen 7'!$D$3:$D$26,Teamauswertung!$C24,'Rennen 7'!$I$3:$I$26)</f>
        <v>0</v>
      </c>
      <c r="M24" s="1">
        <f>SUMIF('Rennen 8'!$D$3:$D$26,Teamauswertung!$C24,'Rennen 8'!$I$3:$I$26)</f>
        <v>0</v>
      </c>
      <c r="N24" s="1">
        <f>SUMIF('Rennen 9'!$D$3:$D$26,Teamauswertung!$C24,'Rennen 9'!$I$3:$I$26)</f>
        <v>0</v>
      </c>
      <c r="O24" s="1">
        <f>SUMIF('Rennen 10'!$D$3:$D$26,Teamauswertung!$C24,'Rennen 10'!$I$3:$I$26)</f>
        <v>0</v>
      </c>
      <c r="P24" s="1">
        <f>SUMIF('Rennen 11'!$D$3:$D$26,Teamauswertung!$C24,'Rennen 11'!$I$3:$I$26)</f>
        <v>0</v>
      </c>
      <c r="Q24" s="1">
        <f>SUMIF('Rennen 12'!$D$3:$D$26,Teamauswertung!$C24,'Rennen 12'!$I$3:$I$26)</f>
        <v>0</v>
      </c>
      <c r="R24" s="1">
        <f>SUMIF('Rennen 13'!$D$3:$D$26,Teamauswertung!$C24,'Rennen 13'!$I$3:$I$26)</f>
        <v>0</v>
      </c>
      <c r="S24" s="1">
        <f>SUMIF('Rennen 14'!$D$3:$D$26,Teamauswertung!$C24,'Rennen 14'!$I$3:$I$26)</f>
        <v>0</v>
      </c>
      <c r="T24" s="1">
        <f>SUMIF('Rennen 15'!$D$3:$D$26,Teamauswertung!$C24,'Rennen 15'!$I$3:$I$26)</f>
        <v>0</v>
      </c>
      <c r="U24" s="1">
        <f>SUMIF('Rennen 16'!$D$3:$D$26,Teamauswertung!$C24,'Rennen 16'!$I$3:$I$26)</f>
        <v>0</v>
      </c>
      <c r="V24" s="1">
        <f>SUMIF('Rennen 17'!$D$3:$D$26,Teamauswertung!$C24,'Rennen 17'!$I$3:$I$26)</f>
        <v>0</v>
      </c>
      <c r="W24" s="1">
        <f>SUMIF('Rennen 18'!$D$3:$D$26,Teamauswertung!$C24,'Rennen 18'!$I$3:$I$26)</f>
        <v>0</v>
      </c>
      <c r="X24" s="1">
        <f>SUMIF('Rennen 19'!$D$3:$D$26,Teamauswertung!$C24,'Rennen 19'!$I$3:$I$26)</f>
        <v>0</v>
      </c>
      <c r="Y24" s="1">
        <f>SUMIF('Rennen 20'!$D$3:$D$26,Teamauswertung!$C24,'Rennen 20'!$I$3:$I$26)</f>
        <v>0</v>
      </c>
      <c r="Z24" s="1">
        <f>SUMIF('Rennen 21'!$D$3:$D$26,Teamauswertung!$C24,'Rennen 21'!$I$3:$I$26)</f>
        <v>0</v>
      </c>
      <c r="AA24" s="1">
        <f>SUMIF('Rennen 22'!$D$3:$D$26,Teamauswertung!$C24,'Rennen 22'!$I$3:$I$26)</f>
        <v>0</v>
      </c>
      <c r="AB24" s="1">
        <f>SUMIF('Rennen 23'!$D$3:$D$26,Teamauswertung!$C24,'Rennen 23'!$I$3:$I$26)</f>
        <v>0</v>
      </c>
      <c r="AC24" s="1">
        <f>SUMIF('Rennen 24'!$D$3:$D$26,Teamauswertung!$C24,'Rennen 24'!$I$3:$I$26)</f>
        <v>0</v>
      </c>
      <c r="AD24" s="1">
        <f>SUMIF('Rennen 25'!$D$3:$D$26,Teamauswertung!$C24,'Rennen 25'!$I$3:$I$26)</f>
        <v>0</v>
      </c>
      <c r="AE24" s="1">
        <f>SUMIF('Rennen 26'!$D$3:$D$26,Teamauswertung!$C24,'Rennen 26'!$I$3:$I$26)</f>
        <v>0</v>
      </c>
      <c r="AF24" s="1">
        <f>SUMIF('Rennen 27'!$D$3:$D$26,Teamauswertung!$C24,'Rennen 27'!$I$3:$I$26)</f>
        <v>0</v>
      </c>
      <c r="AG24" s="1">
        <f>SUMIF('Rennen 28'!$D$3:$D$26,Teamauswertung!$C24,'Rennen 28'!$I$3:$I$26)</f>
        <v>0</v>
      </c>
      <c r="AH24" s="1">
        <f>SUMIF('Rennen 29'!$D$3:$D$26,Teamauswertung!$C24,'Rennen 29'!$I$3:$I$26)</f>
        <v>0</v>
      </c>
      <c r="AI24" s="1">
        <f>SUMIF('Rennen 30'!$D$3:$D$26,Teamauswertung!$C24,'Rennen 30'!$I$3:$I$26)</f>
        <v>0</v>
      </c>
    </row>
    <row r="25" spans="2:35" x14ac:dyDescent="0.25">
      <c r="B25" s="12">
        <v>23</v>
      </c>
      <c r="C25" s="12"/>
      <c r="D25" s="12"/>
      <c r="E25" s="1">
        <f t="shared" si="0"/>
        <v>0</v>
      </c>
      <c r="F25" s="1">
        <f>SUMIF('Rennen 1'!$D$3:$D$26,Teamauswertung!$C25,'Rennen 1'!$I$3:$I$26)</f>
        <v>0</v>
      </c>
      <c r="G25" s="1">
        <f>SUMIF('Rennen 2'!$D$3:$D$26,Teamauswertung!$C25,'Rennen 2'!$I$3:$I$26)</f>
        <v>0</v>
      </c>
      <c r="H25" s="1">
        <f>SUMIF('Rennen 3'!$D$3:$D$26,Teamauswertung!$C25,'Rennen 3'!$I$3:$I$26)</f>
        <v>0</v>
      </c>
      <c r="I25" s="1">
        <f>SUMIF('Rennen 4'!$D$3:$D$26,Teamauswertung!$C25,'Rennen 4'!$I$3:$I$26)</f>
        <v>0</v>
      </c>
      <c r="J25" s="1">
        <f>SUMIF('Rennen 5'!$D$3:$D$26,Teamauswertung!$C25,'Rennen 5'!$I$3:$I$26)</f>
        <v>0</v>
      </c>
      <c r="K25" s="1">
        <f>SUMIF('Rennen 6'!$D$3:$D$26,Teamauswertung!$C25,'Rennen 6'!$I$3:$I$26)</f>
        <v>0</v>
      </c>
      <c r="L25" s="1">
        <f>SUMIF('Rennen 7'!$D$3:$D$26,Teamauswertung!$C25,'Rennen 7'!$I$3:$I$26)</f>
        <v>0</v>
      </c>
      <c r="M25" s="1">
        <f>SUMIF('Rennen 8'!$D$3:$D$26,Teamauswertung!$C25,'Rennen 8'!$I$3:$I$26)</f>
        <v>0</v>
      </c>
      <c r="N25" s="1">
        <f>SUMIF('Rennen 9'!$D$3:$D$26,Teamauswertung!$C25,'Rennen 9'!$I$3:$I$26)</f>
        <v>0</v>
      </c>
      <c r="O25" s="1">
        <f>SUMIF('Rennen 10'!$D$3:$D$26,Teamauswertung!$C25,'Rennen 10'!$I$3:$I$26)</f>
        <v>0</v>
      </c>
      <c r="P25" s="1">
        <f>SUMIF('Rennen 11'!$D$3:$D$26,Teamauswertung!$C25,'Rennen 11'!$I$3:$I$26)</f>
        <v>0</v>
      </c>
      <c r="Q25" s="1">
        <f>SUMIF('Rennen 12'!$D$3:$D$26,Teamauswertung!$C25,'Rennen 12'!$I$3:$I$26)</f>
        <v>0</v>
      </c>
      <c r="R25" s="1">
        <f>SUMIF('Rennen 13'!$D$3:$D$26,Teamauswertung!$C25,'Rennen 13'!$I$3:$I$26)</f>
        <v>0</v>
      </c>
      <c r="S25" s="1">
        <f>SUMIF('Rennen 14'!$D$3:$D$26,Teamauswertung!$C25,'Rennen 14'!$I$3:$I$26)</f>
        <v>0</v>
      </c>
      <c r="T25" s="1">
        <f>SUMIF('Rennen 15'!$D$3:$D$26,Teamauswertung!$C25,'Rennen 15'!$I$3:$I$26)</f>
        <v>0</v>
      </c>
      <c r="U25" s="1">
        <f>SUMIF('Rennen 16'!$D$3:$D$26,Teamauswertung!$C25,'Rennen 16'!$I$3:$I$26)</f>
        <v>0</v>
      </c>
      <c r="V25" s="1">
        <f>SUMIF('Rennen 17'!$D$3:$D$26,Teamauswertung!$C25,'Rennen 17'!$I$3:$I$26)</f>
        <v>0</v>
      </c>
      <c r="W25" s="1">
        <f>SUMIF('Rennen 18'!$D$3:$D$26,Teamauswertung!$C25,'Rennen 18'!$I$3:$I$26)</f>
        <v>0</v>
      </c>
      <c r="X25" s="1">
        <f>SUMIF('Rennen 19'!$D$3:$D$26,Teamauswertung!$C25,'Rennen 19'!$I$3:$I$26)</f>
        <v>0</v>
      </c>
      <c r="Y25" s="1">
        <f>SUMIF('Rennen 20'!$D$3:$D$26,Teamauswertung!$C25,'Rennen 20'!$I$3:$I$26)</f>
        <v>0</v>
      </c>
      <c r="Z25" s="1">
        <f>SUMIF('Rennen 21'!$D$3:$D$26,Teamauswertung!$C25,'Rennen 21'!$I$3:$I$26)</f>
        <v>0</v>
      </c>
      <c r="AA25" s="1">
        <f>SUMIF('Rennen 22'!$D$3:$D$26,Teamauswertung!$C25,'Rennen 22'!$I$3:$I$26)</f>
        <v>0</v>
      </c>
      <c r="AB25" s="1">
        <f>SUMIF('Rennen 23'!$D$3:$D$26,Teamauswertung!$C25,'Rennen 23'!$I$3:$I$26)</f>
        <v>0</v>
      </c>
      <c r="AC25" s="1">
        <f>SUMIF('Rennen 24'!$D$3:$D$26,Teamauswertung!$C25,'Rennen 24'!$I$3:$I$26)</f>
        <v>0</v>
      </c>
      <c r="AD25" s="1">
        <f>SUMIF('Rennen 25'!$D$3:$D$26,Teamauswertung!$C25,'Rennen 25'!$I$3:$I$26)</f>
        <v>0</v>
      </c>
      <c r="AE25" s="1">
        <f>SUMIF('Rennen 26'!$D$3:$D$26,Teamauswertung!$C25,'Rennen 26'!$I$3:$I$26)</f>
        <v>0</v>
      </c>
      <c r="AF25" s="1">
        <f>SUMIF('Rennen 27'!$D$3:$D$26,Teamauswertung!$C25,'Rennen 27'!$I$3:$I$26)</f>
        <v>0</v>
      </c>
      <c r="AG25" s="1">
        <f>SUMIF('Rennen 28'!$D$3:$D$26,Teamauswertung!$C25,'Rennen 28'!$I$3:$I$26)</f>
        <v>0</v>
      </c>
      <c r="AH25" s="1">
        <f>SUMIF('Rennen 29'!$D$3:$D$26,Teamauswertung!$C25,'Rennen 29'!$I$3:$I$26)</f>
        <v>0</v>
      </c>
      <c r="AI25" s="1">
        <f>SUMIF('Rennen 30'!$D$3:$D$26,Teamauswertung!$C25,'Rennen 30'!$I$3:$I$26)</f>
        <v>0</v>
      </c>
    </row>
    <row r="26" spans="2:35" x14ac:dyDescent="0.25">
      <c r="B26" s="12">
        <v>24</v>
      </c>
      <c r="C26" s="12"/>
      <c r="D26" s="12"/>
      <c r="E26" s="1">
        <f t="shared" si="0"/>
        <v>0</v>
      </c>
      <c r="F26" s="1">
        <f>SUMIF('Rennen 1'!$D$3:$D$26,Teamauswertung!$C26,'Rennen 1'!$I$3:$I$26)</f>
        <v>0</v>
      </c>
      <c r="G26" s="1">
        <f>SUMIF('Rennen 2'!$D$3:$D$26,Teamauswertung!$C26,'Rennen 2'!$I$3:$I$26)</f>
        <v>0</v>
      </c>
      <c r="H26" s="1">
        <f>SUMIF('Rennen 3'!$D$3:$D$26,Teamauswertung!$C26,'Rennen 3'!$I$3:$I$26)</f>
        <v>0</v>
      </c>
      <c r="I26" s="1">
        <f>SUMIF('Rennen 4'!$D$3:$D$26,Teamauswertung!$C26,'Rennen 4'!$I$3:$I$26)</f>
        <v>0</v>
      </c>
      <c r="J26" s="1">
        <f>SUMIF('Rennen 5'!$D$3:$D$26,Teamauswertung!$C26,'Rennen 5'!$I$3:$I$26)</f>
        <v>0</v>
      </c>
      <c r="K26" s="1">
        <f>SUMIF('Rennen 6'!$D$3:$D$26,Teamauswertung!$C26,'Rennen 6'!$I$3:$I$26)</f>
        <v>0</v>
      </c>
      <c r="L26" s="1">
        <f>SUMIF('Rennen 7'!$D$3:$D$26,Teamauswertung!$C26,'Rennen 7'!$I$3:$I$26)</f>
        <v>0</v>
      </c>
      <c r="M26" s="1">
        <f>SUMIF('Rennen 8'!$D$3:$D$26,Teamauswertung!$C26,'Rennen 8'!$I$3:$I$26)</f>
        <v>0</v>
      </c>
      <c r="N26" s="1">
        <f>SUMIF('Rennen 9'!$D$3:$D$26,Teamauswertung!$C26,'Rennen 9'!$I$3:$I$26)</f>
        <v>0</v>
      </c>
      <c r="O26" s="1">
        <f>SUMIF('Rennen 10'!$D$3:$D$26,Teamauswertung!$C26,'Rennen 10'!$I$3:$I$26)</f>
        <v>0</v>
      </c>
      <c r="P26" s="1">
        <f>SUMIF('Rennen 11'!$D$3:$D$26,Teamauswertung!$C26,'Rennen 11'!$I$3:$I$26)</f>
        <v>0</v>
      </c>
      <c r="Q26" s="1">
        <f>SUMIF('Rennen 12'!$D$3:$D$26,Teamauswertung!$C26,'Rennen 12'!$I$3:$I$26)</f>
        <v>0</v>
      </c>
      <c r="R26" s="1">
        <f>SUMIF('Rennen 13'!$D$3:$D$26,Teamauswertung!$C26,'Rennen 13'!$I$3:$I$26)</f>
        <v>0</v>
      </c>
      <c r="S26" s="1">
        <f>SUMIF('Rennen 14'!$D$3:$D$26,Teamauswertung!$C26,'Rennen 14'!$I$3:$I$26)</f>
        <v>0</v>
      </c>
      <c r="T26" s="1">
        <f>SUMIF('Rennen 15'!$D$3:$D$26,Teamauswertung!$C26,'Rennen 15'!$I$3:$I$26)</f>
        <v>0</v>
      </c>
      <c r="U26" s="1">
        <f>SUMIF('Rennen 16'!$D$3:$D$26,Teamauswertung!$C26,'Rennen 16'!$I$3:$I$26)</f>
        <v>0</v>
      </c>
      <c r="V26" s="1">
        <f>SUMIF('Rennen 17'!$D$3:$D$26,Teamauswertung!$C26,'Rennen 17'!$I$3:$I$26)</f>
        <v>0</v>
      </c>
      <c r="W26" s="1">
        <f>SUMIF('Rennen 18'!$D$3:$D$26,Teamauswertung!$C26,'Rennen 18'!$I$3:$I$26)</f>
        <v>0</v>
      </c>
      <c r="X26" s="1">
        <f>SUMIF('Rennen 19'!$D$3:$D$26,Teamauswertung!$C26,'Rennen 19'!$I$3:$I$26)</f>
        <v>0</v>
      </c>
      <c r="Y26" s="1">
        <f>SUMIF('Rennen 20'!$D$3:$D$26,Teamauswertung!$C26,'Rennen 20'!$I$3:$I$26)</f>
        <v>0</v>
      </c>
      <c r="Z26" s="1">
        <f>SUMIF('Rennen 21'!$D$3:$D$26,Teamauswertung!$C26,'Rennen 21'!$I$3:$I$26)</f>
        <v>0</v>
      </c>
      <c r="AA26" s="1">
        <f>SUMIF('Rennen 22'!$D$3:$D$26,Teamauswertung!$C26,'Rennen 22'!$I$3:$I$26)</f>
        <v>0</v>
      </c>
      <c r="AB26" s="1">
        <f>SUMIF('Rennen 23'!$D$3:$D$26,Teamauswertung!$C26,'Rennen 23'!$I$3:$I$26)</f>
        <v>0</v>
      </c>
      <c r="AC26" s="1">
        <f>SUMIF('Rennen 24'!$D$3:$D$26,Teamauswertung!$C26,'Rennen 24'!$I$3:$I$26)</f>
        <v>0</v>
      </c>
      <c r="AD26" s="1">
        <f>SUMIF('Rennen 25'!$D$3:$D$26,Teamauswertung!$C26,'Rennen 25'!$I$3:$I$26)</f>
        <v>0</v>
      </c>
      <c r="AE26" s="1">
        <f>SUMIF('Rennen 26'!$D$3:$D$26,Teamauswertung!$C26,'Rennen 26'!$I$3:$I$26)</f>
        <v>0</v>
      </c>
      <c r="AF26" s="1">
        <f>SUMIF('Rennen 27'!$D$3:$D$26,Teamauswertung!$C26,'Rennen 27'!$I$3:$I$26)</f>
        <v>0</v>
      </c>
      <c r="AG26" s="1">
        <f>SUMIF('Rennen 28'!$D$3:$D$26,Teamauswertung!$C26,'Rennen 28'!$I$3:$I$26)</f>
        <v>0</v>
      </c>
      <c r="AH26" s="1">
        <f>SUMIF('Rennen 29'!$D$3:$D$26,Teamauswertung!$C26,'Rennen 29'!$I$3:$I$26)</f>
        <v>0</v>
      </c>
      <c r="AI26" s="1">
        <f>SUMIF('Rennen 30'!$D$3:$D$26,Teamauswertung!$C26,'Rennen 30'!$I$3:$I$26)</f>
        <v>0</v>
      </c>
    </row>
    <row r="27" spans="2:35" x14ac:dyDescent="0.25">
      <c r="B27" s="12">
        <v>25</v>
      </c>
      <c r="C27" s="12"/>
      <c r="D27" s="12"/>
      <c r="E27" s="1">
        <f t="shared" si="0"/>
        <v>0</v>
      </c>
      <c r="F27" s="1">
        <f>SUMIF('Rennen 1'!$D$3:$D$26,Teamauswertung!$C27,'Rennen 1'!$I$3:$I$26)</f>
        <v>0</v>
      </c>
      <c r="G27" s="1">
        <f>SUMIF('Rennen 2'!$D$3:$D$26,Teamauswertung!$C27,'Rennen 2'!$I$3:$I$26)</f>
        <v>0</v>
      </c>
      <c r="H27" s="1">
        <f>SUMIF('Rennen 3'!$D$3:$D$26,Teamauswertung!$C27,'Rennen 3'!$I$3:$I$26)</f>
        <v>0</v>
      </c>
      <c r="I27" s="1">
        <f>SUMIF('Rennen 4'!$D$3:$D$26,Teamauswertung!$C27,'Rennen 4'!$I$3:$I$26)</f>
        <v>0</v>
      </c>
      <c r="J27" s="1">
        <f>SUMIF('Rennen 5'!$D$3:$D$26,Teamauswertung!$C27,'Rennen 5'!$I$3:$I$26)</f>
        <v>0</v>
      </c>
      <c r="K27" s="1">
        <f>SUMIF('Rennen 6'!$D$3:$D$26,Teamauswertung!$C27,'Rennen 6'!$I$3:$I$26)</f>
        <v>0</v>
      </c>
      <c r="L27" s="1">
        <f>SUMIF('Rennen 7'!$D$3:$D$26,Teamauswertung!$C27,'Rennen 7'!$I$3:$I$26)</f>
        <v>0</v>
      </c>
      <c r="M27" s="1">
        <f>SUMIF('Rennen 8'!$D$3:$D$26,Teamauswertung!$C27,'Rennen 8'!$I$3:$I$26)</f>
        <v>0</v>
      </c>
      <c r="N27" s="1">
        <f>SUMIF('Rennen 9'!$D$3:$D$26,Teamauswertung!$C27,'Rennen 9'!$I$3:$I$26)</f>
        <v>0</v>
      </c>
      <c r="O27" s="1">
        <f>SUMIF('Rennen 10'!$D$3:$D$26,Teamauswertung!$C27,'Rennen 10'!$I$3:$I$26)</f>
        <v>0</v>
      </c>
      <c r="P27" s="1">
        <f>SUMIF('Rennen 11'!$D$3:$D$26,Teamauswertung!$C27,'Rennen 11'!$I$3:$I$26)</f>
        <v>0</v>
      </c>
      <c r="Q27" s="1">
        <f>SUMIF('Rennen 12'!$D$3:$D$26,Teamauswertung!$C27,'Rennen 12'!$I$3:$I$26)</f>
        <v>0</v>
      </c>
      <c r="R27" s="1">
        <f>SUMIF('Rennen 13'!$D$3:$D$26,Teamauswertung!$C27,'Rennen 13'!$I$3:$I$26)</f>
        <v>0</v>
      </c>
      <c r="S27" s="1">
        <f>SUMIF('Rennen 14'!$D$3:$D$26,Teamauswertung!$C27,'Rennen 14'!$I$3:$I$26)</f>
        <v>0</v>
      </c>
      <c r="T27" s="1">
        <f>SUMIF('Rennen 15'!$D$3:$D$26,Teamauswertung!$C27,'Rennen 15'!$I$3:$I$26)</f>
        <v>0</v>
      </c>
      <c r="U27" s="1">
        <f>SUMIF('Rennen 16'!$D$3:$D$26,Teamauswertung!$C27,'Rennen 16'!$I$3:$I$26)</f>
        <v>0</v>
      </c>
      <c r="V27" s="1">
        <f>SUMIF('Rennen 17'!$D$3:$D$26,Teamauswertung!$C27,'Rennen 17'!$I$3:$I$26)</f>
        <v>0</v>
      </c>
      <c r="W27" s="1">
        <f>SUMIF('Rennen 18'!$D$3:$D$26,Teamauswertung!$C27,'Rennen 18'!$I$3:$I$26)</f>
        <v>0</v>
      </c>
      <c r="X27" s="1">
        <f>SUMIF('Rennen 19'!$D$3:$D$26,Teamauswertung!$C27,'Rennen 19'!$I$3:$I$26)</f>
        <v>0</v>
      </c>
      <c r="Y27" s="1">
        <f>SUMIF('Rennen 20'!$D$3:$D$26,Teamauswertung!$C27,'Rennen 20'!$I$3:$I$26)</f>
        <v>0</v>
      </c>
      <c r="Z27" s="1">
        <f>SUMIF('Rennen 21'!$D$3:$D$26,Teamauswertung!$C27,'Rennen 21'!$I$3:$I$26)</f>
        <v>0</v>
      </c>
      <c r="AA27" s="1">
        <f>SUMIF('Rennen 22'!$D$3:$D$26,Teamauswertung!$C27,'Rennen 22'!$I$3:$I$26)</f>
        <v>0</v>
      </c>
      <c r="AB27" s="1">
        <f>SUMIF('Rennen 23'!$D$3:$D$26,Teamauswertung!$C27,'Rennen 23'!$I$3:$I$26)</f>
        <v>0</v>
      </c>
      <c r="AC27" s="1">
        <f>SUMIF('Rennen 24'!$D$3:$D$26,Teamauswertung!$C27,'Rennen 24'!$I$3:$I$26)</f>
        <v>0</v>
      </c>
      <c r="AD27" s="1">
        <f>SUMIF('Rennen 25'!$D$3:$D$26,Teamauswertung!$C27,'Rennen 25'!$I$3:$I$26)</f>
        <v>0</v>
      </c>
      <c r="AE27" s="1">
        <f>SUMIF('Rennen 26'!$D$3:$D$26,Teamauswertung!$C27,'Rennen 26'!$I$3:$I$26)</f>
        <v>0</v>
      </c>
      <c r="AF27" s="1">
        <f>SUMIF('Rennen 27'!$D$3:$D$26,Teamauswertung!$C27,'Rennen 27'!$I$3:$I$26)</f>
        <v>0</v>
      </c>
      <c r="AG27" s="1">
        <f>SUMIF('Rennen 28'!$D$3:$D$26,Teamauswertung!$C27,'Rennen 28'!$I$3:$I$26)</f>
        <v>0</v>
      </c>
      <c r="AH27" s="1">
        <f>SUMIF('Rennen 29'!$D$3:$D$26,Teamauswertung!$C27,'Rennen 29'!$I$3:$I$26)</f>
        <v>0</v>
      </c>
      <c r="AI27" s="1">
        <f>SUMIF('Rennen 30'!$D$3:$D$26,Teamauswertung!$C27,'Rennen 30'!$I$3:$I$26)</f>
        <v>0</v>
      </c>
    </row>
    <row r="28" spans="2:35" x14ac:dyDescent="0.25">
      <c r="B28" s="12">
        <v>26</v>
      </c>
      <c r="C28" s="12"/>
      <c r="D28" s="12"/>
      <c r="E28" s="1">
        <f t="shared" si="0"/>
        <v>0</v>
      </c>
      <c r="F28" s="1">
        <f>SUMIF('Rennen 1'!$D$3:$D$26,Teamauswertung!$C28,'Rennen 1'!$I$3:$I$26)</f>
        <v>0</v>
      </c>
      <c r="G28" s="1">
        <f>SUMIF('Rennen 2'!$D$3:$D$26,Teamauswertung!$C28,'Rennen 2'!$I$3:$I$26)</f>
        <v>0</v>
      </c>
      <c r="H28" s="1">
        <f>SUMIF('Rennen 3'!$D$3:$D$26,Teamauswertung!$C28,'Rennen 3'!$I$3:$I$26)</f>
        <v>0</v>
      </c>
      <c r="I28" s="1">
        <f>SUMIF('Rennen 4'!$D$3:$D$26,Teamauswertung!$C28,'Rennen 4'!$I$3:$I$26)</f>
        <v>0</v>
      </c>
      <c r="J28" s="1">
        <f>SUMIF('Rennen 5'!$D$3:$D$26,Teamauswertung!$C28,'Rennen 5'!$I$3:$I$26)</f>
        <v>0</v>
      </c>
      <c r="K28" s="1">
        <f>SUMIF('Rennen 6'!$D$3:$D$26,Teamauswertung!$C28,'Rennen 6'!$I$3:$I$26)</f>
        <v>0</v>
      </c>
      <c r="L28" s="1">
        <f>SUMIF('Rennen 7'!$D$3:$D$26,Teamauswertung!$C28,'Rennen 7'!$I$3:$I$26)</f>
        <v>0</v>
      </c>
      <c r="M28" s="1">
        <f>SUMIF('Rennen 8'!$D$3:$D$26,Teamauswertung!$C28,'Rennen 8'!$I$3:$I$26)</f>
        <v>0</v>
      </c>
      <c r="N28" s="1">
        <f>SUMIF('Rennen 9'!$D$3:$D$26,Teamauswertung!$C28,'Rennen 9'!$I$3:$I$26)</f>
        <v>0</v>
      </c>
      <c r="O28" s="1">
        <f>SUMIF('Rennen 10'!$D$3:$D$26,Teamauswertung!$C28,'Rennen 10'!$I$3:$I$26)</f>
        <v>0</v>
      </c>
      <c r="P28" s="1">
        <f>SUMIF('Rennen 11'!$D$3:$D$26,Teamauswertung!$C28,'Rennen 11'!$I$3:$I$26)</f>
        <v>0</v>
      </c>
      <c r="Q28" s="1">
        <f>SUMIF('Rennen 12'!$D$3:$D$26,Teamauswertung!$C28,'Rennen 12'!$I$3:$I$26)</f>
        <v>0</v>
      </c>
      <c r="R28" s="1">
        <f>SUMIF('Rennen 13'!$D$3:$D$26,Teamauswertung!$C28,'Rennen 13'!$I$3:$I$26)</f>
        <v>0</v>
      </c>
      <c r="S28" s="1">
        <f>SUMIF('Rennen 14'!$D$3:$D$26,Teamauswertung!$C28,'Rennen 14'!$I$3:$I$26)</f>
        <v>0</v>
      </c>
      <c r="T28" s="1">
        <f>SUMIF('Rennen 15'!$D$3:$D$26,Teamauswertung!$C28,'Rennen 15'!$I$3:$I$26)</f>
        <v>0</v>
      </c>
      <c r="U28" s="1">
        <f>SUMIF('Rennen 16'!$D$3:$D$26,Teamauswertung!$C28,'Rennen 16'!$I$3:$I$26)</f>
        <v>0</v>
      </c>
      <c r="V28" s="1">
        <f>SUMIF('Rennen 17'!$D$3:$D$26,Teamauswertung!$C28,'Rennen 17'!$I$3:$I$26)</f>
        <v>0</v>
      </c>
      <c r="W28" s="1">
        <f>SUMIF('Rennen 18'!$D$3:$D$26,Teamauswertung!$C28,'Rennen 18'!$I$3:$I$26)</f>
        <v>0</v>
      </c>
      <c r="X28" s="1">
        <f>SUMIF('Rennen 19'!$D$3:$D$26,Teamauswertung!$C28,'Rennen 19'!$I$3:$I$26)</f>
        <v>0</v>
      </c>
      <c r="Y28" s="1">
        <f>SUMIF('Rennen 20'!$D$3:$D$26,Teamauswertung!$C28,'Rennen 20'!$I$3:$I$26)</f>
        <v>0</v>
      </c>
      <c r="Z28" s="1">
        <f>SUMIF('Rennen 21'!$D$3:$D$26,Teamauswertung!$C28,'Rennen 21'!$I$3:$I$26)</f>
        <v>0</v>
      </c>
      <c r="AA28" s="1">
        <f>SUMIF('Rennen 22'!$D$3:$D$26,Teamauswertung!$C28,'Rennen 22'!$I$3:$I$26)</f>
        <v>0</v>
      </c>
      <c r="AB28" s="1">
        <f>SUMIF('Rennen 23'!$D$3:$D$26,Teamauswertung!$C28,'Rennen 23'!$I$3:$I$26)</f>
        <v>0</v>
      </c>
      <c r="AC28" s="1">
        <f>SUMIF('Rennen 24'!$D$3:$D$26,Teamauswertung!$C28,'Rennen 24'!$I$3:$I$26)</f>
        <v>0</v>
      </c>
      <c r="AD28" s="1">
        <f>SUMIF('Rennen 25'!$D$3:$D$26,Teamauswertung!$C28,'Rennen 25'!$I$3:$I$26)</f>
        <v>0</v>
      </c>
      <c r="AE28" s="1">
        <f>SUMIF('Rennen 26'!$D$3:$D$26,Teamauswertung!$C28,'Rennen 26'!$I$3:$I$26)</f>
        <v>0</v>
      </c>
      <c r="AF28" s="1">
        <f>SUMIF('Rennen 27'!$D$3:$D$26,Teamauswertung!$C28,'Rennen 27'!$I$3:$I$26)</f>
        <v>0</v>
      </c>
      <c r="AG28" s="1">
        <f>SUMIF('Rennen 28'!$D$3:$D$26,Teamauswertung!$C28,'Rennen 28'!$I$3:$I$26)</f>
        <v>0</v>
      </c>
      <c r="AH28" s="1">
        <f>SUMIF('Rennen 29'!$D$3:$D$26,Teamauswertung!$C28,'Rennen 29'!$I$3:$I$26)</f>
        <v>0</v>
      </c>
      <c r="AI28" s="1">
        <f>SUMIF('Rennen 30'!$D$3:$D$26,Teamauswertung!$C28,'Rennen 30'!$I$3:$I$26)</f>
        <v>0</v>
      </c>
    </row>
    <row r="29" spans="2:35" x14ac:dyDescent="0.25">
      <c r="B29" s="12">
        <v>27</v>
      </c>
      <c r="C29" s="12"/>
      <c r="D29" s="12"/>
      <c r="E29" s="1">
        <f t="shared" si="0"/>
        <v>0</v>
      </c>
      <c r="F29" s="1">
        <f>SUMIF('Rennen 1'!$D$3:$D$26,Teamauswertung!$C29,'Rennen 1'!$I$3:$I$26)</f>
        <v>0</v>
      </c>
      <c r="G29" s="1">
        <f>SUMIF('Rennen 2'!$D$3:$D$26,Teamauswertung!$C29,'Rennen 2'!$I$3:$I$26)</f>
        <v>0</v>
      </c>
      <c r="H29" s="1">
        <f>SUMIF('Rennen 3'!$D$3:$D$26,Teamauswertung!$C29,'Rennen 3'!$I$3:$I$26)</f>
        <v>0</v>
      </c>
      <c r="I29" s="1">
        <f>SUMIF('Rennen 4'!$D$3:$D$26,Teamauswertung!$C29,'Rennen 4'!$I$3:$I$26)</f>
        <v>0</v>
      </c>
      <c r="J29" s="1">
        <f>SUMIF('Rennen 5'!$D$3:$D$26,Teamauswertung!$C29,'Rennen 5'!$I$3:$I$26)</f>
        <v>0</v>
      </c>
      <c r="K29" s="1">
        <f>SUMIF('Rennen 6'!$D$3:$D$26,Teamauswertung!$C29,'Rennen 6'!$I$3:$I$26)</f>
        <v>0</v>
      </c>
      <c r="L29" s="1">
        <f>SUMIF('Rennen 7'!$D$3:$D$26,Teamauswertung!$C29,'Rennen 7'!$I$3:$I$26)</f>
        <v>0</v>
      </c>
      <c r="M29" s="1">
        <f>SUMIF('Rennen 8'!$D$3:$D$26,Teamauswertung!$C29,'Rennen 8'!$I$3:$I$26)</f>
        <v>0</v>
      </c>
      <c r="N29" s="1">
        <f>SUMIF('Rennen 9'!$D$3:$D$26,Teamauswertung!$C29,'Rennen 9'!$I$3:$I$26)</f>
        <v>0</v>
      </c>
      <c r="O29" s="1">
        <f>SUMIF('Rennen 10'!$D$3:$D$26,Teamauswertung!$C29,'Rennen 10'!$I$3:$I$26)</f>
        <v>0</v>
      </c>
      <c r="P29" s="1">
        <f>SUMIF('Rennen 11'!$D$3:$D$26,Teamauswertung!$C29,'Rennen 11'!$I$3:$I$26)</f>
        <v>0</v>
      </c>
      <c r="Q29" s="1">
        <f>SUMIF('Rennen 12'!$D$3:$D$26,Teamauswertung!$C29,'Rennen 12'!$I$3:$I$26)</f>
        <v>0</v>
      </c>
      <c r="R29" s="1">
        <f>SUMIF('Rennen 13'!$D$3:$D$26,Teamauswertung!$C29,'Rennen 13'!$I$3:$I$26)</f>
        <v>0</v>
      </c>
      <c r="S29" s="1">
        <f>SUMIF('Rennen 14'!$D$3:$D$26,Teamauswertung!$C29,'Rennen 14'!$I$3:$I$26)</f>
        <v>0</v>
      </c>
      <c r="T29" s="1">
        <f>SUMIF('Rennen 15'!$D$3:$D$26,Teamauswertung!$C29,'Rennen 15'!$I$3:$I$26)</f>
        <v>0</v>
      </c>
      <c r="U29" s="1">
        <f>SUMIF('Rennen 16'!$D$3:$D$26,Teamauswertung!$C29,'Rennen 16'!$I$3:$I$26)</f>
        <v>0</v>
      </c>
      <c r="V29" s="1">
        <f>SUMIF('Rennen 17'!$D$3:$D$26,Teamauswertung!$C29,'Rennen 17'!$I$3:$I$26)</f>
        <v>0</v>
      </c>
      <c r="W29" s="1">
        <f>SUMIF('Rennen 18'!$D$3:$D$26,Teamauswertung!$C29,'Rennen 18'!$I$3:$I$26)</f>
        <v>0</v>
      </c>
      <c r="X29" s="1">
        <f>SUMIF('Rennen 19'!$D$3:$D$26,Teamauswertung!$C29,'Rennen 19'!$I$3:$I$26)</f>
        <v>0</v>
      </c>
      <c r="Y29" s="1">
        <f>SUMIF('Rennen 20'!$D$3:$D$26,Teamauswertung!$C29,'Rennen 20'!$I$3:$I$26)</f>
        <v>0</v>
      </c>
      <c r="Z29" s="1">
        <f>SUMIF('Rennen 21'!$D$3:$D$26,Teamauswertung!$C29,'Rennen 21'!$I$3:$I$26)</f>
        <v>0</v>
      </c>
      <c r="AA29" s="1">
        <f>SUMIF('Rennen 22'!$D$3:$D$26,Teamauswertung!$C29,'Rennen 22'!$I$3:$I$26)</f>
        <v>0</v>
      </c>
      <c r="AB29" s="1">
        <f>SUMIF('Rennen 23'!$D$3:$D$26,Teamauswertung!$C29,'Rennen 23'!$I$3:$I$26)</f>
        <v>0</v>
      </c>
      <c r="AC29" s="1">
        <f>SUMIF('Rennen 24'!$D$3:$D$26,Teamauswertung!$C29,'Rennen 24'!$I$3:$I$26)</f>
        <v>0</v>
      </c>
      <c r="AD29" s="1">
        <f>SUMIF('Rennen 25'!$D$3:$D$26,Teamauswertung!$C29,'Rennen 25'!$I$3:$I$26)</f>
        <v>0</v>
      </c>
      <c r="AE29" s="1">
        <f>SUMIF('Rennen 26'!$D$3:$D$26,Teamauswertung!$C29,'Rennen 26'!$I$3:$I$26)</f>
        <v>0</v>
      </c>
      <c r="AF29" s="1">
        <f>SUMIF('Rennen 27'!$D$3:$D$26,Teamauswertung!$C29,'Rennen 27'!$I$3:$I$26)</f>
        <v>0</v>
      </c>
      <c r="AG29" s="1">
        <f>SUMIF('Rennen 28'!$D$3:$D$26,Teamauswertung!$C29,'Rennen 28'!$I$3:$I$26)</f>
        <v>0</v>
      </c>
      <c r="AH29" s="1">
        <f>SUMIF('Rennen 29'!$D$3:$D$26,Teamauswertung!$C29,'Rennen 29'!$I$3:$I$26)</f>
        <v>0</v>
      </c>
      <c r="AI29" s="1">
        <f>SUMIF('Rennen 30'!$D$3:$D$26,Teamauswertung!$C29,'Rennen 30'!$I$3:$I$26)</f>
        <v>0</v>
      </c>
    </row>
    <row r="30" spans="2:35" x14ac:dyDescent="0.25">
      <c r="B30" s="12">
        <v>28</v>
      </c>
      <c r="C30" s="12"/>
      <c r="D30" s="12"/>
      <c r="E30" s="1">
        <f t="shared" si="0"/>
        <v>0</v>
      </c>
      <c r="F30" s="1">
        <f>SUMIF('Rennen 1'!$D$3:$D$26,Teamauswertung!$C30,'Rennen 1'!$I$3:$I$26)</f>
        <v>0</v>
      </c>
      <c r="G30" s="1">
        <f>SUMIF('Rennen 2'!$D$3:$D$26,Teamauswertung!$C30,'Rennen 2'!$I$3:$I$26)</f>
        <v>0</v>
      </c>
      <c r="H30" s="1">
        <f>SUMIF('Rennen 3'!$D$3:$D$26,Teamauswertung!$C30,'Rennen 3'!$I$3:$I$26)</f>
        <v>0</v>
      </c>
      <c r="I30" s="1">
        <f>SUMIF('Rennen 4'!$D$3:$D$26,Teamauswertung!$C30,'Rennen 4'!$I$3:$I$26)</f>
        <v>0</v>
      </c>
      <c r="J30" s="1">
        <f>SUMIF('Rennen 5'!$D$3:$D$26,Teamauswertung!$C30,'Rennen 5'!$I$3:$I$26)</f>
        <v>0</v>
      </c>
      <c r="K30" s="1">
        <f>SUMIF('Rennen 6'!$D$3:$D$26,Teamauswertung!$C30,'Rennen 6'!$I$3:$I$26)</f>
        <v>0</v>
      </c>
      <c r="L30" s="1">
        <f>SUMIF('Rennen 7'!$D$3:$D$26,Teamauswertung!$C30,'Rennen 7'!$I$3:$I$26)</f>
        <v>0</v>
      </c>
      <c r="M30" s="1">
        <f>SUMIF('Rennen 8'!$D$3:$D$26,Teamauswertung!$C30,'Rennen 8'!$I$3:$I$26)</f>
        <v>0</v>
      </c>
      <c r="N30" s="1">
        <f>SUMIF('Rennen 9'!$D$3:$D$26,Teamauswertung!$C30,'Rennen 9'!$I$3:$I$26)</f>
        <v>0</v>
      </c>
      <c r="O30" s="1">
        <f>SUMIF('Rennen 10'!$D$3:$D$26,Teamauswertung!$C30,'Rennen 10'!$I$3:$I$26)</f>
        <v>0</v>
      </c>
      <c r="P30" s="1">
        <f>SUMIF('Rennen 11'!$D$3:$D$26,Teamauswertung!$C30,'Rennen 11'!$I$3:$I$26)</f>
        <v>0</v>
      </c>
      <c r="Q30" s="1">
        <f>SUMIF('Rennen 12'!$D$3:$D$26,Teamauswertung!$C30,'Rennen 12'!$I$3:$I$26)</f>
        <v>0</v>
      </c>
      <c r="R30" s="1">
        <f>SUMIF('Rennen 13'!$D$3:$D$26,Teamauswertung!$C30,'Rennen 13'!$I$3:$I$26)</f>
        <v>0</v>
      </c>
      <c r="S30" s="1">
        <f>SUMIF('Rennen 14'!$D$3:$D$26,Teamauswertung!$C30,'Rennen 14'!$I$3:$I$26)</f>
        <v>0</v>
      </c>
      <c r="T30" s="1">
        <f>SUMIF('Rennen 15'!$D$3:$D$26,Teamauswertung!$C30,'Rennen 15'!$I$3:$I$26)</f>
        <v>0</v>
      </c>
      <c r="U30" s="1">
        <f>SUMIF('Rennen 16'!$D$3:$D$26,Teamauswertung!$C30,'Rennen 16'!$I$3:$I$26)</f>
        <v>0</v>
      </c>
      <c r="V30" s="1">
        <f>SUMIF('Rennen 17'!$D$3:$D$26,Teamauswertung!$C30,'Rennen 17'!$I$3:$I$26)</f>
        <v>0</v>
      </c>
      <c r="W30" s="1">
        <f>SUMIF('Rennen 18'!$D$3:$D$26,Teamauswertung!$C30,'Rennen 18'!$I$3:$I$26)</f>
        <v>0</v>
      </c>
      <c r="X30" s="1">
        <f>SUMIF('Rennen 19'!$D$3:$D$26,Teamauswertung!$C30,'Rennen 19'!$I$3:$I$26)</f>
        <v>0</v>
      </c>
      <c r="Y30" s="1">
        <f>SUMIF('Rennen 20'!$D$3:$D$26,Teamauswertung!$C30,'Rennen 20'!$I$3:$I$26)</f>
        <v>0</v>
      </c>
      <c r="Z30" s="1">
        <f>SUMIF('Rennen 21'!$D$3:$D$26,Teamauswertung!$C30,'Rennen 21'!$I$3:$I$26)</f>
        <v>0</v>
      </c>
      <c r="AA30" s="1">
        <f>SUMIF('Rennen 22'!$D$3:$D$26,Teamauswertung!$C30,'Rennen 22'!$I$3:$I$26)</f>
        <v>0</v>
      </c>
      <c r="AB30" s="1">
        <f>SUMIF('Rennen 23'!$D$3:$D$26,Teamauswertung!$C30,'Rennen 23'!$I$3:$I$26)</f>
        <v>0</v>
      </c>
      <c r="AC30" s="1">
        <f>SUMIF('Rennen 24'!$D$3:$D$26,Teamauswertung!$C30,'Rennen 24'!$I$3:$I$26)</f>
        <v>0</v>
      </c>
      <c r="AD30" s="1">
        <f>SUMIF('Rennen 25'!$D$3:$D$26,Teamauswertung!$C30,'Rennen 25'!$I$3:$I$26)</f>
        <v>0</v>
      </c>
      <c r="AE30" s="1">
        <f>SUMIF('Rennen 26'!$D$3:$D$26,Teamauswertung!$C30,'Rennen 26'!$I$3:$I$26)</f>
        <v>0</v>
      </c>
      <c r="AF30" s="1">
        <f>SUMIF('Rennen 27'!$D$3:$D$26,Teamauswertung!$C30,'Rennen 27'!$I$3:$I$26)</f>
        <v>0</v>
      </c>
      <c r="AG30" s="1">
        <f>SUMIF('Rennen 28'!$D$3:$D$26,Teamauswertung!$C30,'Rennen 28'!$I$3:$I$26)</f>
        <v>0</v>
      </c>
      <c r="AH30" s="1">
        <f>SUMIF('Rennen 29'!$D$3:$D$26,Teamauswertung!$C30,'Rennen 29'!$I$3:$I$26)</f>
        <v>0</v>
      </c>
      <c r="AI30" s="1">
        <f>SUMIF('Rennen 30'!$D$3:$D$26,Teamauswertung!$C30,'Rennen 30'!$I$3:$I$26)</f>
        <v>0</v>
      </c>
    </row>
    <row r="31" spans="2:35" x14ac:dyDescent="0.25">
      <c r="B31" s="12">
        <v>29</v>
      </c>
      <c r="C31" s="12"/>
      <c r="D31" s="12"/>
      <c r="E31" s="1">
        <f t="shared" si="0"/>
        <v>0</v>
      </c>
      <c r="F31" s="1">
        <f>SUMIF('Rennen 1'!$D$3:$D$26,Teamauswertung!$C31,'Rennen 1'!$I$3:$I$26)</f>
        <v>0</v>
      </c>
      <c r="G31" s="1">
        <f>SUMIF('Rennen 2'!$D$3:$D$26,Teamauswertung!$C31,'Rennen 2'!$I$3:$I$26)</f>
        <v>0</v>
      </c>
      <c r="H31" s="1">
        <f>SUMIF('Rennen 3'!$D$3:$D$26,Teamauswertung!$C31,'Rennen 3'!$I$3:$I$26)</f>
        <v>0</v>
      </c>
      <c r="I31" s="1">
        <f>SUMIF('Rennen 4'!$D$3:$D$26,Teamauswertung!$C31,'Rennen 4'!$I$3:$I$26)</f>
        <v>0</v>
      </c>
      <c r="J31" s="1">
        <f>SUMIF('Rennen 5'!$D$3:$D$26,Teamauswertung!$C31,'Rennen 5'!$I$3:$I$26)</f>
        <v>0</v>
      </c>
      <c r="K31" s="1">
        <f>SUMIF('Rennen 6'!$D$3:$D$26,Teamauswertung!$C31,'Rennen 6'!$I$3:$I$26)</f>
        <v>0</v>
      </c>
      <c r="L31" s="1">
        <f>SUMIF('Rennen 7'!$D$3:$D$26,Teamauswertung!$C31,'Rennen 7'!$I$3:$I$26)</f>
        <v>0</v>
      </c>
      <c r="M31" s="1">
        <f>SUMIF('Rennen 8'!$D$3:$D$26,Teamauswertung!$C31,'Rennen 8'!$I$3:$I$26)</f>
        <v>0</v>
      </c>
      <c r="N31" s="1">
        <f>SUMIF('Rennen 9'!$D$3:$D$26,Teamauswertung!$C31,'Rennen 9'!$I$3:$I$26)</f>
        <v>0</v>
      </c>
      <c r="O31" s="1">
        <f>SUMIF('Rennen 10'!$D$3:$D$26,Teamauswertung!$C31,'Rennen 10'!$I$3:$I$26)</f>
        <v>0</v>
      </c>
      <c r="P31" s="1">
        <f>SUMIF('Rennen 11'!$D$3:$D$26,Teamauswertung!$C31,'Rennen 11'!$I$3:$I$26)</f>
        <v>0</v>
      </c>
      <c r="Q31" s="1">
        <f>SUMIF('Rennen 12'!$D$3:$D$26,Teamauswertung!$C31,'Rennen 12'!$I$3:$I$26)</f>
        <v>0</v>
      </c>
      <c r="R31" s="1">
        <f>SUMIF('Rennen 13'!$D$3:$D$26,Teamauswertung!$C31,'Rennen 13'!$I$3:$I$26)</f>
        <v>0</v>
      </c>
      <c r="S31" s="1">
        <f>SUMIF('Rennen 14'!$D$3:$D$26,Teamauswertung!$C31,'Rennen 14'!$I$3:$I$26)</f>
        <v>0</v>
      </c>
      <c r="T31" s="1">
        <f>SUMIF('Rennen 15'!$D$3:$D$26,Teamauswertung!$C31,'Rennen 15'!$I$3:$I$26)</f>
        <v>0</v>
      </c>
      <c r="U31" s="1">
        <f>SUMIF('Rennen 16'!$D$3:$D$26,Teamauswertung!$C31,'Rennen 16'!$I$3:$I$26)</f>
        <v>0</v>
      </c>
      <c r="V31" s="1">
        <f>SUMIF('Rennen 17'!$D$3:$D$26,Teamauswertung!$C31,'Rennen 17'!$I$3:$I$26)</f>
        <v>0</v>
      </c>
      <c r="W31" s="1">
        <f>SUMIF('Rennen 18'!$D$3:$D$26,Teamauswertung!$C31,'Rennen 18'!$I$3:$I$26)</f>
        <v>0</v>
      </c>
      <c r="X31" s="1">
        <f>SUMIF('Rennen 19'!$D$3:$D$26,Teamauswertung!$C31,'Rennen 19'!$I$3:$I$26)</f>
        <v>0</v>
      </c>
      <c r="Y31" s="1">
        <f>SUMIF('Rennen 20'!$D$3:$D$26,Teamauswertung!$C31,'Rennen 20'!$I$3:$I$26)</f>
        <v>0</v>
      </c>
      <c r="Z31" s="1">
        <f>SUMIF('Rennen 21'!$D$3:$D$26,Teamauswertung!$C31,'Rennen 21'!$I$3:$I$26)</f>
        <v>0</v>
      </c>
      <c r="AA31" s="1">
        <f>SUMIF('Rennen 22'!$D$3:$D$26,Teamauswertung!$C31,'Rennen 22'!$I$3:$I$26)</f>
        <v>0</v>
      </c>
      <c r="AB31" s="1">
        <f>SUMIF('Rennen 23'!$D$3:$D$26,Teamauswertung!$C31,'Rennen 23'!$I$3:$I$26)</f>
        <v>0</v>
      </c>
      <c r="AC31" s="1">
        <f>SUMIF('Rennen 24'!$D$3:$D$26,Teamauswertung!$C31,'Rennen 24'!$I$3:$I$26)</f>
        <v>0</v>
      </c>
      <c r="AD31" s="1">
        <f>SUMIF('Rennen 25'!$D$3:$D$26,Teamauswertung!$C31,'Rennen 25'!$I$3:$I$26)</f>
        <v>0</v>
      </c>
      <c r="AE31" s="1">
        <f>SUMIF('Rennen 26'!$D$3:$D$26,Teamauswertung!$C31,'Rennen 26'!$I$3:$I$26)</f>
        <v>0</v>
      </c>
      <c r="AF31" s="1">
        <f>SUMIF('Rennen 27'!$D$3:$D$26,Teamauswertung!$C31,'Rennen 27'!$I$3:$I$26)</f>
        <v>0</v>
      </c>
      <c r="AG31" s="1">
        <f>SUMIF('Rennen 28'!$D$3:$D$26,Teamauswertung!$C31,'Rennen 28'!$I$3:$I$26)</f>
        <v>0</v>
      </c>
      <c r="AH31" s="1">
        <f>SUMIF('Rennen 29'!$D$3:$D$26,Teamauswertung!$C31,'Rennen 29'!$I$3:$I$26)</f>
        <v>0</v>
      </c>
      <c r="AI31" s="1">
        <f>SUMIF('Rennen 30'!$D$3:$D$26,Teamauswertung!$C31,'Rennen 30'!$I$3:$I$26)</f>
        <v>0</v>
      </c>
    </row>
    <row r="32" spans="2:35" x14ac:dyDescent="0.25">
      <c r="B32" s="12">
        <v>30</v>
      </c>
      <c r="C32" s="12"/>
      <c r="D32" s="12"/>
      <c r="E32" s="1">
        <f t="shared" si="0"/>
        <v>0</v>
      </c>
      <c r="F32" s="1">
        <f>SUMIF('Rennen 1'!$D$3:$D$26,Teamauswertung!$C32,'Rennen 1'!$I$3:$I$26)</f>
        <v>0</v>
      </c>
      <c r="G32" s="1">
        <f>SUMIF('Rennen 2'!$D$3:$D$26,Teamauswertung!$C32,'Rennen 2'!$I$3:$I$26)</f>
        <v>0</v>
      </c>
      <c r="H32" s="1">
        <f>SUMIF('Rennen 3'!$D$3:$D$26,Teamauswertung!$C32,'Rennen 3'!$I$3:$I$26)</f>
        <v>0</v>
      </c>
      <c r="I32" s="1">
        <f>SUMIF('Rennen 4'!$D$3:$D$26,Teamauswertung!$C32,'Rennen 4'!$I$3:$I$26)</f>
        <v>0</v>
      </c>
      <c r="J32" s="1">
        <f>SUMIF('Rennen 5'!$D$3:$D$26,Teamauswertung!$C32,'Rennen 5'!$I$3:$I$26)</f>
        <v>0</v>
      </c>
      <c r="K32" s="1">
        <f>SUMIF('Rennen 6'!$D$3:$D$26,Teamauswertung!$C32,'Rennen 6'!$I$3:$I$26)</f>
        <v>0</v>
      </c>
      <c r="L32" s="1">
        <f>SUMIF('Rennen 7'!$D$3:$D$26,Teamauswertung!$C32,'Rennen 7'!$I$3:$I$26)</f>
        <v>0</v>
      </c>
      <c r="M32" s="1">
        <f>SUMIF('Rennen 8'!$D$3:$D$26,Teamauswertung!$C32,'Rennen 8'!$I$3:$I$26)</f>
        <v>0</v>
      </c>
      <c r="N32" s="1">
        <f>SUMIF('Rennen 9'!$D$3:$D$26,Teamauswertung!$C32,'Rennen 9'!$I$3:$I$26)</f>
        <v>0</v>
      </c>
      <c r="O32" s="1">
        <f>SUMIF('Rennen 10'!$D$3:$D$26,Teamauswertung!$C32,'Rennen 10'!$I$3:$I$26)</f>
        <v>0</v>
      </c>
      <c r="P32" s="1">
        <f>SUMIF('Rennen 11'!$D$3:$D$26,Teamauswertung!$C32,'Rennen 11'!$I$3:$I$26)</f>
        <v>0</v>
      </c>
      <c r="Q32" s="1">
        <f>SUMIF('Rennen 12'!$D$3:$D$26,Teamauswertung!$C32,'Rennen 12'!$I$3:$I$26)</f>
        <v>0</v>
      </c>
      <c r="R32" s="1">
        <f>SUMIF('Rennen 13'!$D$3:$D$26,Teamauswertung!$C32,'Rennen 13'!$I$3:$I$26)</f>
        <v>0</v>
      </c>
      <c r="S32" s="1">
        <f>SUMIF('Rennen 14'!$D$3:$D$26,Teamauswertung!$C32,'Rennen 14'!$I$3:$I$26)</f>
        <v>0</v>
      </c>
      <c r="T32" s="1">
        <f>SUMIF('Rennen 15'!$D$3:$D$26,Teamauswertung!$C32,'Rennen 15'!$I$3:$I$26)</f>
        <v>0</v>
      </c>
      <c r="U32" s="1">
        <f>SUMIF('Rennen 16'!$D$3:$D$26,Teamauswertung!$C32,'Rennen 16'!$I$3:$I$26)</f>
        <v>0</v>
      </c>
      <c r="V32" s="1">
        <f>SUMIF('Rennen 17'!$D$3:$D$26,Teamauswertung!$C32,'Rennen 17'!$I$3:$I$26)</f>
        <v>0</v>
      </c>
      <c r="W32" s="1">
        <f>SUMIF('Rennen 18'!$D$3:$D$26,Teamauswertung!$C32,'Rennen 18'!$I$3:$I$26)</f>
        <v>0</v>
      </c>
      <c r="X32" s="1">
        <f>SUMIF('Rennen 19'!$D$3:$D$26,Teamauswertung!$C32,'Rennen 19'!$I$3:$I$26)</f>
        <v>0</v>
      </c>
      <c r="Y32" s="1">
        <f>SUMIF('Rennen 20'!$D$3:$D$26,Teamauswertung!$C32,'Rennen 20'!$I$3:$I$26)</f>
        <v>0</v>
      </c>
      <c r="Z32" s="1">
        <f>SUMIF('Rennen 21'!$D$3:$D$26,Teamauswertung!$C32,'Rennen 21'!$I$3:$I$26)</f>
        <v>0</v>
      </c>
      <c r="AA32" s="1">
        <f>SUMIF('Rennen 22'!$D$3:$D$26,Teamauswertung!$C32,'Rennen 22'!$I$3:$I$26)</f>
        <v>0</v>
      </c>
      <c r="AB32" s="1">
        <f>SUMIF('Rennen 23'!$D$3:$D$26,Teamauswertung!$C32,'Rennen 23'!$I$3:$I$26)</f>
        <v>0</v>
      </c>
      <c r="AC32" s="1">
        <f>SUMIF('Rennen 24'!$D$3:$D$26,Teamauswertung!$C32,'Rennen 24'!$I$3:$I$26)</f>
        <v>0</v>
      </c>
      <c r="AD32" s="1">
        <f>SUMIF('Rennen 25'!$D$3:$D$26,Teamauswertung!$C32,'Rennen 25'!$I$3:$I$26)</f>
        <v>0</v>
      </c>
      <c r="AE32" s="1">
        <f>SUMIF('Rennen 26'!$D$3:$D$26,Teamauswertung!$C32,'Rennen 26'!$I$3:$I$26)</f>
        <v>0</v>
      </c>
      <c r="AF32" s="1">
        <f>SUMIF('Rennen 27'!$D$3:$D$26,Teamauswertung!$C32,'Rennen 27'!$I$3:$I$26)</f>
        <v>0</v>
      </c>
      <c r="AG32" s="1">
        <f>SUMIF('Rennen 28'!$D$3:$D$26,Teamauswertung!$C32,'Rennen 28'!$I$3:$I$26)</f>
        <v>0</v>
      </c>
      <c r="AH32" s="1">
        <f>SUMIF('Rennen 29'!$D$3:$D$26,Teamauswertung!$C32,'Rennen 29'!$I$3:$I$26)</f>
        <v>0</v>
      </c>
      <c r="AI32" s="1">
        <f>SUMIF('Rennen 30'!$D$3:$D$26,Teamauswertung!$C32,'Rennen 30'!$I$3:$I$26)</f>
        <v>0</v>
      </c>
    </row>
  </sheetData>
  <pageMargins left="0.7" right="0.7" top="0.78740157499999996" bottom="0.78740157499999996" header="0.3" footer="0.3"/>
  <ignoredErrors>
    <ignoredError sqref="G3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I30"/>
  <sheetViews>
    <sheetView zoomScaleNormal="100" workbookViewId="0">
      <selection activeCell="D1" sqref="D1"/>
    </sheetView>
  </sheetViews>
  <sheetFormatPr baseColWidth="10" defaultColWidth="20.7109375" defaultRowHeight="22.5" customHeight="1" x14ac:dyDescent="0.25"/>
  <cols>
    <col min="1" max="16384" width="20.7109375" style="7"/>
  </cols>
  <sheetData>
    <row r="1" spans="1:9" ht="19.5" customHeight="1" x14ac:dyDescent="0.25">
      <c r="A1" s="14" t="s">
        <v>73</v>
      </c>
      <c r="B1" s="6"/>
      <c r="C1" s="6"/>
      <c r="D1" s="15">
        <v>42479.854166666664</v>
      </c>
      <c r="E1" s="5" t="s">
        <v>74</v>
      </c>
      <c r="F1" s="5" t="s">
        <v>75</v>
      </c>
      <c r="G1" s="5" t="s">
        <v>72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1</v>
      </c>
      <c r="C3" s="5" t="s">
        <v>55</v>
      </c>
      <c r="D3" s="8" t="s">
        <v>78</v>
      </c>
      <c r="E3" s="5" t="s">
        <v>67</v>
      </c>
      <c r="F3" s="9">
        <v>1.3858796296296295E-3</v>
      </c>
      <c r="G3" s="10">
        <v>0</v>
      </c>
      <c r="H3" s="10">
        <v>1.3993055555555555E-2</v>
      </c>
      <c r="I3" s="5">
        <v>25</v>
      </c>
    </row>
    <row r="4" spans="1:9" ht="22.5" customHeight="1" x14ac:dyDescent="0.25">
      <c r="A4" s="8">
        <v>2</v>
      </c>
      <c r="B4" s="5">
        <v>2</v>
      </c>
      <c r="C4" s="5" t="s">
        <v>56</v>
      </c>
      <c r="D4" s="8" t="s">
        <v>78</v>
      </c>
      <c r="E4" s="5" t="s">
        <v>67</v>
      </c>
      <c r="F4" s="9" t="s">
        <v>68</v>
      </c>
      <c r="G4" s="10">
        <f>H4-H3</f>
        <v>4.6296296296296016E-5</v>
      </c>
      <c r="H4" s="10">
        <v>1.4039351851851851E-2</v>
      </c>
      <c r="I4" s="5">
        <v>20</v>
      </c>
    </row>
    <row r="5" spans="1:9" ht="22.5" customHeight="1" x14ac:dyDescent="0.25">
      <c r="A5" s="8">
        <v>3</v>
      </c>
      <c r="B5" s="5">
        <v>5</v>
      </c>
      <c r="C5" s="5" t="s">
        <v>57</v>
      </c>
      <c r="D5" s="8" t="s">
        <v>78</v>
      </c>
      <c r="E5" s="5" t="s">
        <v>67</v>
      </c>
      <c r="F5" s="9">
        <v>1.3830439814814814E-3</v>
      </c>
      <c r="G5" s="10">
        <f>H5-H3</f>
        <v>6.9444444444444892E-5</v>
      </c>
      <c r="H5" s="10">
        <v>1.40625E-2</v>
      </c>
      <c r="I5" s="5">
        <v>16</v>
      </c>
    </row>
    <row r="6" spans="1:9" ht="22.5" customHeight="1" x14ac:dyDescent="0.25">
      <c r="A6" s="8">
        <v>4</v>
      </c>
      <c r="B6" s="5">
        <v>6</v>
      </c>
      <c r="C6" s="5" t="s">
        <v>66</v>
      </c>
      <c r="D6" s="8" t="s">
        <v>78</v>
      </c>
      <c r="E6" s="5" t="s">
        <v>67</v>
      </c>
      <c r="F6" s="9">
        <v>1.3891898148148151E-3</v>
      </c>
      <c r="G6" s="10">
        <f>H6-H3</f>
        <v>1.041666666666656E-4</v>
      </c>
      <c r="H6" s="10">
        <v>1.4097222222222221E-2</v>
      </c>
      <c r="I6" s="5">
        <v>13</v>
      </c>
    </row>
    <row r="7" spans="1:9" ht="22.5" customHeight="1" x14ac:dyDescent="0.25">
      <c r="A7" s="8">
        <v>5</v>
      </c>
      <c r="B7" s="5">
        <v>7</v>
      </c>
      <c r="C7" s="5" t="s">
        <v>58</v>
      </c>
      <c r="D7" s="8" t="s">
        <v>78</v>
      </c>
      <c r="E7" s="5" t="s">
        <v>67</v>
      </c>
      <c r="F7" s="9" t="s">
        <v>69</v>
      </c>
      <c r="G7" s="10">
        <f>H7-H3</f>
        <v>1.1574074074073917E-4</v>
      </c>
      <c r="H7" s="10">
        <v>1.4108796296296295E-2</v>
      </c>
      <c r="I7" s="5">
        <v>11</v>
      </c>
    </row>
    <row r="8" spans="1:9" ht="22.5" customHeight="1" x14ac:dyDescent="0.25">
      <c r="A8" s="8">
        <v>6</v>
      </c>
      <c r="B8" s="5">
        <v>3</v>
      </c>
      <c r="C8" s="5" t="s">
        <v>59</v>
      </c>
      <c r="D8" s="8" t="s">
        <v>78</v>
      </c>
      <c r="E8" s="5" t="s">
        <v>67</v>
      </c>
      <c r="F8" s="9">
        <v>1.3867361111111112E-3</v>
      </c>
      <c r="G8" s="10">
        <f>H8-H3</f>
        <v>2.3148148148148182E-4</v>
      </c>
      <c r="H8" s="10">
        <v>1.4224537037037037E-2</v>
      </c>
      <c r="I8" s="5">
        <v>10</v>
      </c>
    </row>
    <row r="9" spans="1:9" ht="22.5" customHeight="1" x14ac:dyDescent="0.25">
      <c r="A9" s="8">
        <v>7</v>
      </c>
      <c r="B9" s="5">
        <v>9</v>
      </c>
      <c r="C9" s="5" t="s">
        <v>60</v>
      </c>
      <c r="D9" s="8" t="s">
        <v>78</v>
      </c>
      <c r="E9" s="5" t="s">
        <v>67</v>
      </c>
      <c r="F9" s="9">
        <v>1.4042129629629628E-3</v>
      </c>
      <c r="G9" s="10">
        <f>H9-H3</f>
        <v>3.2407407407407558E-4</v>
      </c>
      <c r="H9" s="10">
        <v>1.4317129629629631E-2</v>
      </c>
      <c r="I9" s="5">
        <v>9</v>
      </c>
    </row>
    <row r="10" spans="1:9" ht="22.5" customHeight="1" x14ac:dyDescent="0.25">
      <c r="A10" s="8">
        <v>8</v>
      </c>
      <c r="B10" s="5">
        <v>11</v>
      </c>
      <c r="C10" s="5" t="s">
        <v>61</v>
      </c>
      <c r="D10" s="8" t="s">
        <v>78</v>
      </c>
      <c r="E10" s="5" t="s">
        <v>67</v>
      </c>
      <c r="F10" s="9">
        <v>1.413113425925926E-3</v>
      </c>
      <c r="G10" s="10">
        <f>H10-H3</f>
        <v>3.5879629629629629E-4</v>
      </c>
      <c r="H10" s="10">
        <v>1.4351851851851852E-2</v>
      </c>
      <c r="I10" s="5">
        <v>8</v>
      </c>
    </row>
    <row r="11" spans="1:9" ht="22.5" customHeight="1" x14ac:dyDescent="0.25">
      <c r="A11" s="8">
        <v>9</v>
      </c>
      <c r="B11" s="5">
        <v>8</v>
      </c>
      <c r="C11" s="5" t="s">
        <v>62</v>
      </c>
      <c r="D11" s="8" t="s">
        <v>78</v>
      </c>
      <c r="E11" s="5" t="s">
        <v>67</v>
      </c>
      <c r="F11" s="9">
        <v>1.3996296296296298E-3</v>
      </c>
      <c r="G11" s="10">
        <f>H11-H3</f>
        <v>3.93518518518517E-4</v>
      </c>
      <c r="H11" s="10">
        <v>1.4386574074074072E-2</v>
      </c>
      <c r="I11" s="5">
        <v>7</v>
      </c>
    </row>
    <row r="12" spans="1:9" ht="22.5" customHeight="1" x14ac:dyDescent="0.25">
      <c r="A12" s="8">
        <v>10</v>
      </c>
      <c r="B12" s="5">
        <v>12</v>
      </c>
      <c r="C12" s="5" t="s">
        <v>63</v>
      </c>
      <c r="D12" s="8" t="s">
        <v>78</v>
      </c>
      <c r="E12" s="5" t="s">
        <v>67</v>
      </c>
      <c r="F12" s="9">
        <v>1.4330439814814815E-3</v>
      </c>
      <c r="G12" s="10">
        <f>H12-H3</f>
        <v>6.59722222222223E-4</v>
      </c>
      <c r="H12" s="10">
        <v>1.4652777777777778E-2</v>
      </c>
      <c r="I12" s="5">
        <v>6</v>
      </c>
    </row>
    <row r="13" spans="1:9" ht="22.5" customHeight="1" x14ac:dyDescent="0.25">
      <c r="A13" s="8">
        <v>11</v>
      </c>
      <c r="B13" s="5">
        <v>10</v>
      </c>
      <c r="C13" s="5" t="s">
        <v>64</v>
      </c>
      <c r="D13" s="8" t="s">
        <v>78</v>
      </c>
      <c r="E13" s="5" t="s">
        <v>67</v>
      </c>
      <c r="F13" s="9">
        <v>1.411574074074074E-3</v>
      </c>
      <c r="G13" s="10">
        <f>H13-H3</f>
        <v>1.0416666666666647E-3</v>
      </c>
      <c r="H13" s="10">
        <v>1.503472222222222E-2</v>
      </c>
      <c r="I13" s="5">
        <v>5</v>
      </c>
    </row>
    <row r="14" spans="1:9" ht="22.5" customHeight="1" x14ac:dyDescent="0.25">
      <c r="A14" s="8">
        <v>12</v>
      </c>
      <c r="B14" s="5">
        <v>4</v>
      </c>
      <c r="C14" s="5" t="s">
        <v>65</v>
      </c>
      <c r="D14" s="8" t="s">
        <v>78</v>
      </c>
      <c r="E14" s="5" t="s">
        <v>67</v>
      </c>
      <c r="F14" s="9" t="s">
        <v>70</v>
      </c>
      <c r="G14" s="10" t="s">
        <v>71</v>
      </c>
      <c r="H14" s="10" t="s">
        <v>71</v>
      </c>
      <c r="I14" s="5">
        <v>4</v>
      </c>
    </row>
    <row r="15" spans="1:9" ht="22.5" customHeight="1" x14ac:dyDescent="0.25">
      <c r="A15" s="8" t="s">
        <v>24</v>
      </c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I30"/>
  <sheetViews>
    <sheetView zoomScale="90" zoomScaleNormal="90" workbookViewId="0">
      <selection activeCell="D1" sqref="D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76</v>
      </c>
      <c r="B1" s="6"/>
      <c r="C1" s="6"/>
      <c r="D1" s="15">
        <v>42479.854166666664</v>
      </c>
      <c r="E1" s="5" t="s">
        <v>77</v>
      </c>
      <c r="F1" s="5" t="s">
        <v>75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12</v>
      </c>
      <c r="C3" s="5" t="s">
        <v>55</v>
      </c>
      <c r="D3" s="8" t="s">
        <v>78</v>
      </c>
      <c r="E3" s="5" t="s">
        <v>67</v>
      </c>
      <c r="F3" s="14" t="s">
        <v>78</v>
      </c>
      <c r="G3" s="14" t="s">
        <v>78</v>
      </c>
      <c r="H3" s="14" t="s">
        <v>79</v>
      </c>
      <c r="I3" s="5">
        <v>25</v>
      </c>
    </row>
    <row r="4" spans="1:9" ht="22.5" customHeight="1" x14ac:dyDescent="0.25">
      <c r="A4" s="8">
        <v>2</v>
      </c>
      <c r="B4" s="5">
        <v>8</v>
      </c>
      <c r="C4" s="5" t="s">
        <v>58</v>
      </c>
      <c r="D4" s="8" t="s">
        <v>78</v>
      </c>
      <c r="E4" s="5" t="s">
        <v>67</v>
      </c>
      <c r="F4" s="14" t="s">
        <v>78</v>
      </c>
      <c r="G4" s="14" t="s">
        <v>78</v>
      </c>
      <c r="H4" s="14" t="s">
        <v>79</v>
      </c>
      <c r="I4" s="5">
        <v>20</v>
      </c>
    </row>
    <row r="5" spans="1:9" ht="22.5" customHeight="1" x14ac:dyDescent="0.25">
      <c r="A5" s="8">
        <v>3</v>
      </c>
      <c r="B5" s="5">
        <v>9</v>
      </c>
      <c r="C5" s="5" t="s">
        <v>66</v>
      </c>
      <c r="D5" s="8" t="s">
        <v>78</v>
      </c>
      <c r="E5" s="5" t="s">
        <v>67</v>
      </c>
      <c r="F5" s="14" t="s">
        <v>78</v>
      </c>
      <c r="G5" s="14" t="s">
        <v>78</v>
      </c>
      <c r="H5" s="14" t="s">
        <v>79</v>
      </c>
      <c r="I5" s="5">
        <v>16</v>
      </c>
    </row>
    <row r="6" spans="1:9" ht="22.5" customHeight="1" x14ac:dyDescent="0.25">
      <c r="A6" s="8">
        <v>4</v>
      </c>
      <c r="B6" s="5">
        <v>11</v>
      </c>
      <c r="C6" s="5" t="s">
        <v>56</v>
      </c>
      <c r="D6" s="8" t="s">
        <v>78</v>
      </c>
      <c r="E6" s="5" t="s">
        <v>67</v>
      </c>
      <c r="F6" s="14" t="s">
        <v>78</v>
      </c>
      <c r="G6" s="14" t="s">
        <v>78</v>
      </c>
      <c r="H6" s="14" t="s">
        <v>79</v>
      </c>
      <c r="I6" s="5">
        <v>13</v>
      </c>
    </row>
    <row r="7" spans="1:9" ht="22.5" customHeight="1" x14ac:dyDescent="0.25">
      <c r="A7" s="8">
        <v>5</v>
      </c>
      <c r="B7" s="5">
        <v>10</v>
      </c>
      <c r="C7" s="5" t="s">
        <v>57</v>
      </c>
      <c r="D7" s="8" t="s">
        <v>78</v>
      </c>
      <c r="E7" s="5" t="s">
        <v>67</v>
      </c>
      <c r="F7" s="14" t="s">
        <v>78</v>
      </c>
      <c r="G7" s="14" t="s">
        <v>78</v>
      </c>
      <c r="H7" s="14" t="s">
        <v>79</v>
      </c>
      <c r="I7" s="5">
        <v>11</v>
      </c>
    </row>
    <row r="8" spans="1:9" ht="22.5" customHeight="1" x14ac:dyDescent="0.25">
      <c r="A8" s="8">
        <v>6</v>
      </c>
      <c r="B8" s="5">
        <v>1</v>
      </c>
      <c r="C8" s="5" t="s">
        <v>65</v>
      </c>
      <c r="D8" s="8" t="s">
        <v>78</v>
      </c>
      <c r="E8" s="5" t="s">
        <v>67</v>
      </c>
      <c r="F8" s="14" t="s">
        <v>78</v>
      </c>
      <c r="G8" s="14" t="s">
        <v>78</v>
      </c>
      <c r="H8" s="14" t="s">
        <v>79</v>
      </c>
      <c r="I8" s="5">
        <v>10</v>
      </c>
    </row>
    <row r="9" spans="1:9" ht="22.5" customHeight="1" x14ac:dyDescent="0.25">
      <c r="A9" s="8">
        <v>7</v>
      </c>
      <c r="B9" s="5">
        <v>7</v>
      </c>
      <c r="C9" s="5" t="s">
        <v>59</v>
      </c>
      <c r="D9" s="8" t="s">
        <v>78</v>
      </c>
      <c r="E9" s="5" t="s">
        <v>67</v>
      </c>
      <c r="F9" s="14" t="s">
        <v>78</v>
      </c>
      <c r="G9" s="14" t="s">
        <v>78</v>
      </c>
      <c r="H9" s="14" t="s">
        <v>80</v>
      </c>
      <c r="I9" s="5">
        <v>9</v>
      </c>
    </row>
    <row r="10" spans="1:9" ht="22.5" customHeight="1" x14ac:dyDescent="0.25">
      <c r="A10" s="8">
        <v>8</v>
      </c>
      <c r="B10" s="5">
        <v>4</v>
      </c>
      <c r="C10" s="5" t="s">
        <v>62</v>
      </c>
      <c r="D10" s="8" t="s">
        <v>78</v>
      </c>
      <c r="E10" s="5" t="s">
        <v>67</v>
      </c>
      <c r="F10" s="14" t="s">
        <v>78</v>
      </c>
      <c r="G10" s="14" t="s">
        <v>78</v>
      </c>
      <c r="H10" s="14" t="s">
        <v>80</v>
      </c>
      <c r="I10" s="5">
        <v>8</v>
      </c>
    </row>
    <row r="11" spans="1:9" ht="22.5" customHeight="1" x14ac:dyDescent="0.25">
      <c r="A11" s="8">
        <v>9</v>
      </c>
      <c r="B11" s="5">
        <v>2</v>
      </c>
      <c r="C11" s="5" t="s">
        <v>64</v>
      </c>
      <c r="D11" s="8" t="s">
        <v>78</v>
      </c>
      <c r="E11" s="5" t="s">
        <v>67</v>
      </c>
      <c r="F11" s="14" t="s">
        <v>78</v>
      </c>
      <c r="G11" s="14" t="s">
        <v>78</v>
      </c>
      <c r="H11" s="14" t="s">
        <v>81</v>
      </c>
      <c r="I11" s="5">
        <v>7</v>
      </c>
    </row>
    <row r="12" spans="1:9" ht="22.5" customHeight="1" x14ac:dyDescent="0.25">
      <c r="A12" s="8">
        <v>10</v>
      </c>
      <c r="B12" s="5">
        <v>6</v>
      </c>
      <c r="C12" s="5" t="s">
        <v>60</v>
      </c>
      <c r="D12" s="8" t="s">
        <v>78</v>
      </c>
      <c r="E12" s="5" t="s">
        <v>67</v>
      </c>
      <c r="F12" s="14" t="s">
        <v>78</v>
      </c>
      <c r="G12" s="14" t="s">
        <v>78</v>
      </c>
      <c r="H12" s="14" t="s">
        <v>81</v>
      </c>
      <c r="I12" s="5">
        <v>6</v>
      </c>
    </row>
    <row r="13" spans="1:9" ht="22.5" customHeight="1" x14ac:dyDescent="0.25">
      <c r="A13" s="8">
        <v>11</v>
      </c>
      <c r="B13" s="5">
        <v>5</v>
      </c>
      <c r="C13" s="5" t="s">
        <v>61</v>
      </c>
      <c r="D13" s="8" t="s">
        <v>78</v>
      </c>
      <c r="E13" s="5" t="s">
        <v>67</v>
      </c>
      <c r="F13" s="14" t="s">
        <v>78</v>
      </c>
      <c r="G13" s="14" t="s">
        <v>78</v>
      </c>
      <c r="H13" s="14" t="s">
        <v>81</v>
      </c>
      <c r="I13" s="5">
        <v>5</v>
      </c>
    </row>
    <row r="14" spans="1:9" ht="22.5" customHeight="1" x14ac:dyDescent="0.25">
      <c r="A14" s="8">
        <v>12</v>
      </c>
      <c r="B14" s="5">
        <v>3</v>
      </c>
      <c r="C14" s="5" t="s">
        <v>63</v>
      </c>
      <c r="D14" s="8" t="s">
        <v>78</v>
      </c>
      <c r="E14" s="5" t="s">
        <v>67</v>
      </c>
      <c r="F14" s="14" t="s">
        <v>78</v>
      </c>
      <c r="G14" s="14" t="s">
        <v>78</v>
      </c>
      <c r="H14" s="14" t="s">
        <v>82</v>
      </c>
      <c r="I14" s="5">
        <v>4</v>
      </c>
    </row>
    <row r="15" spans="1:9" ht="22.5" customHeight="1" x14ac:dyDescent="0.25">
      <c r="A15" s="8" t="s">
        <v>24</v>
      </c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30"/>
  <sheetViews>
    <sheetView zoomScale="90" zoomScaleNormal="90" workbookViewId="0">
      <selection activeCell="D1" sqref="D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95</v>
      </c>
      <c r="B1" s="6"/>
      <c r="C1" s="6"/>
      <c r="D1" s="15">
        <v>42493.854166666664</v>
      </c>
      <c r="E1" s="5" t="s">
        <v>96</v>
      </c>
      <c r="F1" s="5" t="s">
        <v>97</v>
      </c>
      <c r="G1" s="5" t="s">
        <v>98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3</v>
      </c>
      <c r="C3" s="5" t="s">
        <v>83</v>
      </c>
      <c r="D3" s="8" t="s">
        <v>78</v>
      </c>
      <c r="E3" s="5" t="s">
        <v>67</v>
      </c>
      <c r="F3" s="9" t="s">
        <v>86</v>
      </c>
      <c r="G3" s="10">
        <v>0</v>
      </c>
      <c r="H3" s="10">
        <v>1.2974537037037036E-2</v>
      </c>
      <c r="I3" s="5">
        <v>25</v>
      </c>
    </row>
    <row r="4" spans="1:9" ht="22.5" customHeight="1" x14ac:dyDescent="0.25">
      <c r="A4" s="8">
        <v>2</v>
      </c>
      <c r="B4" s="5">
        <v>2</v>
      </c>
      <c r="C4" s="5" t="s">
        <v>56</v>
      </c>
      <c r="D4" s="8" t="s">
        <v>78</v>
      </c>
      <c r="E4" s="5" t="s">
        <v>67</v>
      </c>
      <c r="F4" s="9">
        <v>1.2829745370370371E-3</v>
      </c>
      <c r="G4" s="10">
        <f>H4-H3</f>
        <v>0</v>
      </c>
      <c r="H4" s="10">
        <v>1.2974537037037036E-2</v>
      </c>
      <c r="I4" s="5">
        <v>20</v>
      </c>
    </row>
    <row r="5" spans="1:9" ht="22.5" customHeight="1" x14ac:dyDescent="0.25">
      <c r="A5" s="8">
        <v>3</v>
      </c>
      <c r="B5" s="5">
        <v>6</v>
      </c>
      <c r="C5" s="5" t="s">
        <v>66</v>
      </c>
      <c r="D5" s="8" t="s">
        <v>78</v>
      </c>
      <c r="E5" s="5" t="s">
        <v>67</v>
      </c>
      <c r="F5" s="9" t="s">
        <v>87</v>
      </c>
      <c r="G5" s="10">
        <f>H5-H3</f>
        <v>1.157407407407357E-5</v>
      </c>
      <c r="H5" s="10">
        <v>1.298611111111111E-2</v>
      </c>
      <c r="I5" s="5">
        <v>16</v>
      </c>
    </row>
    <row r="6" spans="1:9" ht="22.5" customHeight="1" x14ac:dyDescent="0.25">
      <c r="A6" s="8">
        <v>4</v>
      </c>
      <c r="B6" s="5">
        <v>1</v>
      </c>
      <c r="C6" s="5" t="s">
        <v>55</v>
      </c>
      <c r="D6" s="8" t="s">
        <v>78</v>
      </c>
      <c r="E6" s="5" t="s">
        <v>67</v>
      </c>
      <c r="F6" s="9" t="s">
        <v>88</v>
      </c>
      <c r="G6" s="10">
        <f>H6-H3</f>
        <v>3.4722222222224181E-5</v>
      </c>
      <c r="H6" s="10">
        <v>1.300925925925926E-2</v>
      </c>
      <c r="I6" s="5">
        <v>13</v>
      </c>
    </row>
    <row r="7" spans="1:9" ht="22.5" customHeight="1" x14ac:dyDescent="0.25">
      <c r="A7" s="8">
        <v>5</v>
      </c>
      <c r="B7" s="5">
        <v>5</v>
      </c>
      <c r="C7" s="5" t="s">
        <v>58</v>
      </c>
      <c r="D7" s="8" t="s">
        <v>78</v>
      </c>
      <c r="E7" s="5" t="s">
        <v>67</v>
      </c>
      <c r="F7" s="9">
        <v>1.2871296296296296E-3</v>
      </c>
      <c r="G7" s="10">
        <f>H7-H3</f>
        <v>8.1018518518520197E-5</v>
      </c>
      <c r="H7" s="10">
        <v>1.3055555555555556E-2</v>
      </c>
      <c r="I7" s="5">
        <v>11</v>
      </c>
    </row>
    <row r="8" spans="1:9" ht="22.5" customHeight="1" x14ac:dyDescent="0.25">
      <c r="A8" s="8">
        <v>6</v>
      </c>
      <c r="B8" s="5">
        <v>11</v>
      </c>
      <c r="C8" s="5" t="s">
        <v>59</v>
      </c>
      <c r="D8" s="8" t="s">
        <v>78</v>
      </c>
      <c r="E8" s="5" t="s">
        <v>67</v>
      </c>
      <c r="F8" s="9" t="s">
        <v>89</v>
      </c>
      <c r="G8" s="10">
        <f>H8-H3</f>
        <v>2.3148148148148182E-4</v>
      </c>
      <c r="H8" s="10">
        <v>1.3206018518518518E-2</v>
      </c>
      <c r="I8" s="5">
        <v>10</v>
      </c>
    </row>
    <row r="9" spans="1:9" ht="22.5" customHeight="1" x14ac:dyDescent="0.25">
      <c r="A9" s="8">
        <v>7</v>
      </c>
      <c r="B9" s="5">
        <v>4</v>
      </c>
      <c r="C9" s="5" t="s">
        <v>62</v>
      </c>
      <c r="D9" s="8" t="s">
        <v>78</v>
      </c>
      <c r="E9" s="5" t="s">
        <v>67</v>
      </c>
      <c r="F9" s="9" t="s">
        <v>90</v>
      </c>
      <c r="G9" s="10">
        <f>H9-H3</f>
        <v>2.4305555555555712E-4</v>
      </c>
      <c r="H9" s="10">
        <v>1.3217592592592593E-2</v>
      </c>
      <c r="I9" s="5">
        <v>9</v>
      </c>
    </row>
    <row r="10" spans="1:9" ht="22.5" customHeight="1" x14ac:dyDescent="0.25">
      <c r="A10" s="8">
        <v>8</v>
      </c>
      <c r="B10" s="5">
        <v>8</v>
      </c>
      <c r="C10" s="5" t="s">
        <v>64</v>
      </c>
      <c r="D10" s="8" t="s">
        <v>78</v>
      </c>
      <c r="E10" s="5" t="s">
        <v>67</v>
      </c>
      <c r="F10" s="9" t="s">
        <v>91</v>
      </c>
      <c r="G10" s="10">
        <f>H10-H3</f>
        <v>3.1250000000000028E-4</v>
      </c>
      <c r="H10" s="10">
        <v>1.3287037037037036E-2</v>
      </c>
      <c r="I10" s="5">
        <v>8</v>
      </c>
    </row>
    <row r="11" spans="1:9" ht="22.5" customHeight="1" x14ac:dyDescent="0.25">
      <c r="A11" s="8">
        <v>9</v>
      </c>
      <c r="B11" s="5">
        <v>7</v>
      </c>
      <c r="C11" s="5" t="s">
        <v>84</v>
      </c>
      <c r="D11" s="8" t="s">
        <v>78</v>
      </c>
      <c r="E11" s="5" t="s">
        <v>67</v>
      </c>
      <c r="F11" s="9" t="s">
        <v>92</v>
      </c>
      <c r="G11" s="10">
        <f>H11-H3</f>
        <v>3.2407407407407385E-4</v>
      </c>
      <c r="H11" s="10">
        <v>1.329861111111111E-2</v>
      </c>
      <c r="I11" s="5">
        <v>7</v>
      </c>
    </row>
    <row r="12" spans="1:9" ht="22.5" customHeight="1" x14ac:dyDescent="0.25">
      <c r="A12" s="8">
        <v>10</v>
      </c>
      <c r="B12" s="5">
        <v>9</v>
      </c>
      <c r="C12" s="5" t="s">
        <v>61</v>
      </c>
      <c r="D12" s="8" t="s">
        <v>78</v>
      </c>
      <c r="E12" s="5" t="s">
        <v>67</v>
      </c>
      <c r="F12" s="9" t="s">
        <v>93</v>
      </c>
      <c r="G12" s="10">
        <f>H12-H3</f>
        <v>3.5879629629629803E-4</v>
      </c>
      <c r="H12" s="10">
        <v>1.3333333333333334E-2</v>
      </c>
      <c r="I12" s="5">
        <v>6</v>
      </c>
    </row>
    <row r="13" spans="1:9" ht="22.5" customHeight="1" x14ac:dyDescent="0.25">
      <c r="A13" s="8">
        <v>11</v>
      </c>
      <c r="B13" s="5">
        <v>10</v>
      </c>
      <c r="C13" s="5" t="s">
        <v>60</v>
      </c>
      <c r="D13" s="8" t="s">
        <v>78</v>
      </c>
      <c r="E13" s="5" t="s">
        <v>67</v>
      </c>
      <c r="F13" s="9" t="s">
        <v>94</v>
      </c>
      <c r="G13" s="10">
        <f>H13-H3</f>
        <v>3.703703703703716E-4</v>
      </c>
      <c r="H13" s="10">
        <v>1.3344907407407408E-2</v>
      </c>
      <c r="I13" s="5">
        <v>5</v>
      </c>
    </row>
    <row r="14" spans="1:9" ht="22.5" customHeight="1" x14ac:dyDescent="0.25">
      <c r="A14" s="8">
        <v>12</v>
      </c>
      <c r="B14" s="5">
        <v>12</v>
      </c>
      <c r="C14" s="5" t="s">
        <v>85</v>
      </c>
      <c r="D14" s="8" t="s">
        <v>78</v>
      </c>
      <c r="E14" s="5" t="s">
        <v>67</v>
      </c>
      <c r="F14" s="9">
        <v>1.3440972222222222E-3</v>
      </c>
      <c r="G14" s="10">
        <f>H14-H3</f>
        <v>6.5972222222222127E-4</v>
      </c>
      <c r="H14" s="10">
        <v>1.3634259259259257E-2</v>
      </c>
      <c r="I14" s="5">
        <v>4</v>
      </c>
    </row>
    <row r="15" spans="1:9" ht="22.5" customHeight="1" x14ac:dyDescent="0.25">
      <c r="A15" s="8" t="s">
        <v>24</v>
      </c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I30"/>
  <sheetViews>
    <sheetView zoomScale="90" zoomScaleNormal="90" workbookViewId="0">
      <selection activeCell="D1" sqref="D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99</v>
      </c>
      <c r="B1" s="6"/>
      <c r="C1" s="6"/>
      <c r="D1" s="15">
        <v>42493.854166666664</v>
      </c>
      <c r="E1" s="5" t="s">
        <v>100</v>
      </c>
      <c r="F1" s="5" t="s">
        <v>97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12</v>
      </c>
      <c r="C3" s="5" t="s">
        <v>83</v>
      </c>
      <c r="D3" s="8" t="s">
        <v>78</v>
      </c>
      <c r="E3" s="5" t="s">
        <v>67</v>
      </c>
      <c r="F3" s="14" t="s">
        <v>78</v>
      </c>
      <c r="G3" s="14" t="s">
        <v>78</v>
      </c>
      <c r="H3" s="14" t="s">
        <v>101</v>
      </c>
      <c r="I3" s="5">
        <v>25</v>
      </c>
    </row>
    <row r="4" spans="1:9" ht="22.5" customHeight="1" x14ac:dyDescent="0.25">
      <c r="A4" s="8">
        <v>2</v>
      </c>
      <c r="B4" s="5">
        <v>10</v>
      </c>
      <c r="C4" s="5" t="s">
        <v>66</v>
      </c>
      <c r="D4" s="8" t="s">
        <v>78</v>
      </c>
      <c r="E4" s="5" t="s">
        <v>67</v>
      </c>
      <c r="F4" s="14" t="s">
        <v>78</v>
      </c>
      <c r="G4" s="14" t="s">
        <v>78</v>
      </c>
      <c r="H4" s="14" t="s">
        <v>101</v>
      </c>
      <c r="I4" s="5">
        <v>20</v>
      </c>
    </row>
    <row r="5" spans="1:9" ht="22.5" customHeight="1" x14ac:dyDescent="0.25">
      <c r="A5" s="8">
        <v>3</v>
      </c>
      <c r="B5" s="5">
        <v>11</v>
      </c>
      <c r="C5" s="5" t="s">
        <v>56</v>
      </c>
      <c r="D5" s="8" t="s">
        <v>78</v>
      </c>
      <c r="E5" s="5" t="s">
        <v>67</v>
      </c>
      <c r="F5" s="14" t="s">
        <v>78</v>
      </c>
      <c r="G5" s="14" t="s">
        <v>78</v>
      </c>
      <c r="H5" s="14" t="s">
        <v>102</v>
      </c>
      <c r="I5" s="5">
        <v>16</v>
      </c>
    </row>
    <row r="6" spans="1:9" ht="22.5" customHeight="1" x14ac:dyDescent="0.25">
      <c r="A6" s="8">
        <v>4</v>
      </c>
      <c r="B6" s="5">
        <v>9</v>
      </c>
      <c r="C6" s="5" t="s">
        <v>55</v>
      </c>
      <c r="D6" s="8" t="s">
        <v>78</v>
      </c>
      <c r="E6" s="5" t="s">
        <v>67</v>
      </c>
      <c r="F6" s="14" t="s">
        <v>78</v>
      </c>
      <c r="G6" s="14" t="s">
        <v>78</v>
      </c>
      <c r="H6" s="14" t="s">
        <v>102</v>
      </c>
      <c r="I6" s="5">
        <v>13</v>
      </c>
    </row>
    <row r="7" spans="1:9" ht="22.5" customHeight="1" x14ac:dyDescent="0.25">
      <c r="A7" s="8">
        <v>5</v>
      </c>
      <c r="B7" s="5">
        <v>8</v>
      </c>
      <c r="C7" s="5" t="s">
        <v>58</v>
      </c>
      <c r="D7" s="8" t="s">
        <v>78</v>
      </c>
      <c r="E7" s="5" t="s">
        <v>67</v>
      </c>
      <c r="F7" s="14" t="s">
        <v>78</v>
      </c>
      <c r="G7" s="14" t="s">
        <v>78</v>
      </c>
      <c r="H7" s="14" t="s">
        <v>102</v>
      </c>
      <c r="I7" s="5">
        <v>11</v>
      </c>
    </row>
    <row r="8" spans="1:9" ht="22.5" customHeight="1" x14ac:dyDescent="0.25">
      <c r="A8" s="8">
        <v>6</v>
      </c>
      <c r="B8" s="5">
        <v>7</v>
      </c>
      <c r="C8" s="5" t="s">
        <v>59</v>
      </c>
      <c r="D8" s="8" t="s">
        <v>78</v>
      </c>
      <c r="E8" s="5" t="s">
        <v>67</v>
      </c>
      <c r="F8" s="14" t="s">
        <v>78</v>
      </c>
      <c r="G8" s="14" t="s">
        <v>78</v>
      </c>
      <c r="H8" s="14" t="s">
        <v>102</v>
      </c>
      <c r="I8" s="5">
        <v>10</v>
      </c>
    </row>
    <row r="9" spans="1:9" ht="22.5" customHeight="1" x14ac:dyDescent="0.25">
      <c r="A9" s="8">
        <v>7</v>
      </c>
      <c r="B9" s="5">
        <v>6</v>
      </c>
      <c r="C9" s="5" t="s">
        <v>62</v>
      </c>
      <c r="D9" s="8" t="s">
        <v>78</v>
      </c>
      <c r="E9" s="5" t="s">
        <v>67</v>
      </c>
      <c r="F9" s="14" t="s">
        <v>78</v>
      </c>
      <c r="G9" s="14" t="s">
        <v>78</v>
      </c>
      <c r="H9" s="14" t="s">
        <v>103</v>
      </c>
      <c r="I9" s="5">
        <v>9</v>
      </c>
    </row>
    <row r="10" spans="1:9" ht="22.5" customHeight="1" x14ac:dyDescent="0.25">
      <c r="A10" s="8">
        <v>8</v>
      </c>
      <c r="B10" s="5">
        <v>4</v>
      </c>
      <c r="C10" s="5" t="s">
        <v>84</v>
      </c>
      <c r="D10" s="8" t="s">
        <v>78</v>
      </c>
      <c r="E10" s="5" t="s">
        <v>67</v>
      </c>
      <c r="F10" s="14" t="s">
        <v>78</v>
      </c>
      <c r="G10" s="14" t="s">
        <v>78</v>
      </c>
      <c r="H10" s="14" t="s">
        <v>103</v>
      </c>
      <c r="I10" s="5">
        <v>8</v>
      </c>
    </row>
    <row r="11" spans="1:9" ht="22.5" customHeight="1" x14ac:dyDescent="0.25">
      <c r="A11" s="8">
        <v>9</v>
      </c>
      <c r="B11" s="5">
        <v>5</v>
      </c>
      <c r="C11" s="5" t="s">
        <v>64</v>
      </c>
      <c r="D11" s="8" t="s">
        <v>78</v>
      </c>
      <c r="E11" s="5" t="s">
        <v>67</v>
      </c>
      <c r="F11" s="14" t="s">
        <v>78</v>
      </c>
      <c r="G11" s="14" t="s">
        <v>78</v>
      </c>
      <c r="H11" s="14" t="s">
        <v>104</v>
      </c>
      <c r="I11" s="5">
        <v>7</v>
      </c>
    </row>
    <row r="12" spans="1:9" ht="22.5" customHeight="1" x14ac:dyDescent="0.25">
      <c r="A12" s="8">
        <v>10</v>
      </c>
      <c r="B12" s="5">
        <v>3</v>
      </c>
      <c r="C12" s="5" t="s">
        <v>61</v>
      </c>
      <c r="D12" s="8" t="s">
        <v>78</v>
      </c>
      <c r="E12" s="5" t="s">
        <v>67</v>
      </c>
      <c r="F12" s="14" t="s">
        <v>78</v>
      </c>
      <c r="G12" s="14" t="s">
        <v>78</v>
      </c>
      <c r="H12" s="14" t="s">
        <v>105</v>
      </c>
      <c r="I12" s="5">
        <v>6</v>
      </c>
    </row>
    <row r="13" spans="1:9" ht="22.5" customHeight="1" x14ac:dyDescent="0.25">
      <c r="A13" s="8">
        <v>11</v>
      </c>
      <c r="B13" s="5">
        <v>2</v>
      </c>
      <c r="C13" s="5" t="s">
        <v>60</v>
      </c>
      <c r="D13" s="8" t="s">
        <v>78</v>
      </c>
      <c r="E13" s="5" t="s">
        <v>67</v>
      </c>
      <c r="F13" s="14" t="s">
        <v>78</v>
      </c>
      <c r="G13" s="14" t="s">
        <v>78</v>
      </c>
      <c r="H13" s="14" t="s">
        <v>105</v>
      </c>
      <c r="I13" s="5">
        <v>5</v>
      </c>
    </row>
    <row r="14" spans="1:9" ht="22.5" customHeight="1" x14ac:dyDescent="0.25">
      <c r="A14" s="8">
        <v>12</v>
      </c>
      <c r="B14" s="5">
        <v>1</v>
      </c>
      <c r="C14" s="5" t="s">
        <v>85</v>
      </c>
      <c r="D14" s="8" t="s">
        <v>78</v>
      </c>
      <c r="E14" s="5" t="s">
        <v>67</v>
      </c>
      <c r="F14" s="14" t="s">
        <v>78</v>
      </c>
      <c r="G14" s="14" t="s">
        <v>78</v>
      </c>
      <c r="H14" s="14" t="s">
        <v>106</v>
      </c>
      <c r="I14" s="5">
        <v>4</v>
      </c>
    </row>
    <row r="15" spans="1:9" ht="22.5" customHeight="1" x14ac:dyDescent="0.25">
      <c r="A15" s="8" t="s">
        <v>24</v>
      </c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I30"/>
  <sheetViews>
    <sheetView zoomScale="90" zoomScaleNormal="90" workbookViewId="0">
      <selection activeCell="D1" sqref="D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107</v>
      </c>
      <c r="B1" s="6"/>
      <c r="C1" s="6"/>
      <c r="D1" s="15">
        <v>42507.854166666664</v>
      </c>
      <c r="E1" s="5" t="s">
        <v>108</v>
      </c>
      <c r="F1" s="5" t="s">
        <v>109</v>
      </c>
      <c r="G1" s="5" t="s">
        <v>72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 t="s">
        <v>78</v>
      </c>
      <c r="C3" s="5" t="s">
        <v>57</v>
      </c>
      <c r="D3" s="8" t="s">
        <v>78</v>
      </c>
      <c r="E3" s="5" t="s">
        <v>67</v>
      </c>
      <c r="F3" s="9">
        <v>1.0698611111111111E-3</v>
      </c>
      <c r="G3" s="10">
        <v>0</v>
      </c>
      <c r="H3" s="10">
        <v>1.0856481481481481E-2</v>
      </c>
      <c r="I3" s="5">
        <v>25</v>
      </c>
    </row>
    <row r="4" spans="1:9" ht="22.5" customHeight="1" x14ac:dyDescent="0.25">
      <c r="A4" s="8">
        <v>2</v>
      </c>
      <c r="B4" s="5" t="s">
        <v>78</v>
      </c>
      <c r="C4" s="5" t="s">
        <v>110</v>
      </c>
      <c r="D4" s="8" t="s">
        <v>78</v>
      </c>
      <c r="E4" s="5" t="s">
        <v>67</v>
      </c>
      <c r="F4" s="9">
        <v>1.0763657407407408E-3</v>
      </c>
      <c r="G4" s="10">
        <f>H4-H3</f>
        <v>1.0416666666666734E-4</v>
      </c>
      <c r="H4" s="10">
        <v>1.0960648148148148E-2</v>
      </c>
      <c r="I4" s="5">
        <v>20</v>
      </c>
    </row>
    <row r="5" spans="1:9" ht="22.5" customHeight="1" x14ac:dyDescent="0.25">
      <c r="A5" s="8">
        <v>3</v>
      </c>
      <c r="B5" s="5" t="s">
        <v>78</v>
      </c>
      <c r="C5" s="5" t="s">
        <v>83</v>
      </c>
      <c r="D5" s="8" t="s">
        <v>78</v>
      </c>
      <c r="E5" s="5" t="s">
        <v>67</v>
      </c>
      <c r="F5" s="9" t="s">
        <v>111</v>
      </c>
      <c r="G5" s="10">
        <f>H5-H3</f>
        <v>1.0416666666666734E-4</v>
      </c>
      <c r="H5" s="10">
        <v>1.0960648148148148E-2</v>
      </c>
      <c r="I5" s="5">
        <v>16</v>
      </c>
    </row>
    <row r="6" spans="1:9" ht="22.5" customHeight="1" x14ac:dyDescent="0.25">
      <c r="A6" s="8">
        <v>4</v>
      </c>
      <c r="B6" s="5" t="s">
        <v>78</v>
      </c>
      <c r="C6" s="5" t="s">
        <v>58</v>
      </c>
      <c r="D6" s="8" t="s">
        <v>78</v>
      </c>
      <c r="E6" s="5" t="s">
        <v>67</v>
      </c>
      <c r="F6" s="9">
        <v>1.0778240740740741E-3</v>
      </c>
      <c r="G6" s="10">
        <f>H6-H3</f>
        <v>1.2731481481481621E-4</v>
      </c>
      <c r="H6" s="10">
        <v>1.0983796296296297E-2</v>
      </c>
      <c r="I6" s="5">
        <v>13</v>
      </c>
    </row>
    <row r="7" spans="1:9" ht="22.5" customHeight="1" x14ac:dyDescent="0.25">
      <c r="A7" s="8">
        <v>5</v>
      </c>
      <c r="B7" s="5" t="s">
        <v>78</v>
      </c>
      <c r="C7" s="5" t="s">
        <v>55</v>
      </c>
      <c r="D7" s="8" t="s">
        <v>78</v>
      </c>
      <c r="E7" s="5" t="s">
        <v>67</v>
      </c>
      <c r="F7" s="9">
        <v>1.0779629629629631E-3</v>
      </c>
      <c r="G7" s="10">
        <f>H7-H3</f>
        <v>1.851851851851858E-4</v>
      </c>
      <c r="H7" s="10">
        <v>1.1041666666666667E-2</v>
      </c>
      <c r="I7" s="5">
        <v>11</v>
      </c>
    </row>
    <row r="8" spans="1:9" ht="22.5" customHeight="1" x14ac:dyDescent="0.25">
      <c r="A8" s="8">
        <v>6</v>
      </c>
      <c r="B8" s="5" t="s">
        <v>78</v>
      </c>
      <c r="C8" s="5" t="s">
        <v>62</v>
      </c>
      <c r="D8" s="8" t="s">
        <v>78</v>
      </c>
      <c r="E8" s="5" t="s">
        <v>67</v>
      </c>
      <c r="F8" s="9">
        <v>1.0818055555555557E-3</v>
      </c>
      <c r="G8" s="10">
        <f>H8-H3</f>
        <v>3.3564814814814915E-4</v>
      </c>
      <c r="H8" s="10">
        <v>1.119212962962963E-2</v>
      </c>
      <c r="I8" s="5">
        <v>10</v>
      </c>
    </row>
    <row r="9" spans="1:9" ht="22.5" customHeight="1" x14ac:dyDescent="0.25">
      <c r="A9" s="8">
        <v>7</v>
      </c>
      <c r="B9" s="5" t="s">
        <v>78</v>
      </c>
      <c r="C9" s="5" t="s">
        <v>61</v>
      </c>
      <c r="D9" s="8" t="s">
        <v>78</v>
      </c>
      <c r="E9" s="5" t="s">
        <v>67</v>
      </c>
      <c r="F9" s="9">
        <v>1.1003124999999999E-3</v>
      </c>
      <c r="G9" s="10">
        <f>H9-H3</f>
        <v>3.4722222222222272E-4</v>
      </c>
      <c r="H9" s="10">
        <v>1.1203703703703704E-2</v>
      </c>
      <c r="I9" s="5">
        <v>9</v>
      </c>
    </row>
    <row r="10" spans="1:9" ht="22.5" customHeight="1" x14ac:dyDescent="0.25">
      <c r="A10" s="8">
        <v>8</v>
      </c>
      <c r="B10" s="5" t="s">
        <v>78</v>
      </c>
      <c r="C10" s="5" t="s">
        <v>66</v>
      </c>
      <c r="D10" s="8" t="s">
        <v>78</v>
      </c>
      <c r="E10" s="5" t="s">
        <v>67</v>
      </c>
      <c r="F10" s="9">
        <v>1.0781712962962965E-3</v>
      </c>
      <c r="G10" s="10">
        <f>H10-H3</f>
        <v>3.7037037037037333E-4</v>
      </c>
      <c r="H10" s="10">
        <v>1.1226851851851854E-2</v>
      </c>
      <c r="I10" s="5">
        <v>8</v>
      </c>
    </row>
    <row r="11" spans="1:9" ht="22.5" customHeight="1" x14ac:dyDescent="0.25">
      <c r="A11" s="8">
        <v>9</v>
      </c>
      <c r="B11" s="5" t="s">
        <v>78</v>
      </c>
      <c r="C11" s="5" t="s">
        <v>60</v>
      </c>
      <c r="D11" s="8" t="s">
        <v>78</v>
      </c>
      <c r="E11" s="5" t="s">
        <v>67</v>
      </c>
      <c r="F11" s="9" t="s">
        <v>112</v>
      </c>
      <c r="G11" s="10">
        <f>H11-H3</f>
        <v>6.3657407407407413E-4</v>
      </c>
      <c r="H11" s="10">
        <v>1.1493055555555555E-2</v>
      </c>
      <c r="I11" s="5">
        <v>7</v>
      </c>
    </row>
    <row r="12" spans="1:9" ht="22.5" customHeight="1" x14ac:dyDescent="0.25">
      <c r="A12" s="8" t="s">
        <v>24</v>
      </c>
      <c r="B12" s="5"/>
      <c r="C12" s="5"/>
      <c r="D12" s="8"/>
      <c r="E12" s="5"/>
      <c r="F12" s="9"/>
      <c r="G12" s="10"/>
      <c r="H12" s="10"/>
      <c r="I12" s="5"/>
    </row>
    <row r="13" spans="1:9" ht="22.5" customHeight="1" x14ac:dyDescent="0.25">
      <c r="A13" s="8"/>
      <c r="B13" s="5"/>
      <c r="C13" s="5"/>
      <c r="D13" s="8"/>
      <c r="E13" s="5"/>
      <c r="F13" s="9"/>
      <c r="G13" s="10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9"/>
      <c r="G14" s="10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I30"/>
  <sheetViews>
    <sheetView zoomScale="90" zoomScaleNormal="90" workbookViewId="0">
      <selection activeCell="D1" sqref="D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113</v>
      </c>
      <c r="B1" s="6"/>
      <c r="C1" s="6"/>
      <c r="D1" s="15">
        <v>42507.854166666664</v>
      </c>
      <c r="E1" s="5" t="s">
        <v>114</v>
      </c>
      <c r="F1" s="5" t="s">
        <v>109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 t="s">
        <v>78</v>
      </c>
      <c r="C3" s="5" t="s">
        <v>83</v>
      </c>
      <c r="D3" s="8" t="s">
        <v>78</v>
      </c>
      <c r="E3" s="5" t="s">
        <v>67</v>
      </c>
      <c r="F3" s="14" t="s">
        <v>78</v>
      </c>
      <c r="G3" s="14" t="s">
        <v>78</v>
      </c>
      <c r="H3" s="10" t="s">
        <v>115</v>
      </c>
      <c r="I3" s="5">
        <v>25</v>
      </c>
    </row>
    <row r="4" spans="1:9" ht="22.5" customHeight="1" x14ac:dyDescent="0.25">
      <c r="A4" s="8">
        <v>2</v>
      </c>
      <c r="B4" s="5" t="s">
        <v>78</v>
      </c>
      <c r="C4" s="5" t="s">
        <v>66</v>
      </c>
      <c r="D4" s="8" t="s">
        <v>78</v>
      </c>
      <c r="E4" s="5" t="s">
        <v>67</v>
      </c>
      <c r="F4" s="14" t="s">
        <v>78</v>
      </c>
      <c r="G4" s="14" t="s">
        <v>78</v>
      </c>
      <c r="H4" s="10" t="s">
        <v>115</v>
      </c>
      <c r="I4" s="5">
        <v>20</v>
      </c>
    </row>
    <row r="5" spans="1:9" ht="22.5" customHeight="1" x14ac:dyDescent="0.25">
      <c r="A5" s="8">
        <v>3</v>
      </c>
      <c r="B5" s="5" t="s">
        <v>78</v>
      </c>
      <c r="C5" s="5" t="s">
        <v>57</v>
      </c>
      <c r="D5" s="8" t="s">
        <v>78</v>
      </c>
      <c r="E5" s="5" t="s">
        <v>67</v>
      </c>
      <c r="F5" s="14" t="s">
        <v>78</v>
      </c>
      <c r="G5" s="14" t="s">
        <v>78</v>
      </c>
      <c r="H5" s="10" t="s">
        <v>115</v>
      </c>
      <c r="I5" s="5">
        <v>16</v>
      </c>
    </row>
    <row r="6" spans="1:9" ht="22.5" customHeight="1" x14ac:dyDescent="0.25">
      <c r="A6" s="8">
        <v>4</v>
      </c>
      <c r="B6" s="5" t="s">
        <v>78</v>
      </c>
      <c r="C6" s="5" t="s">
        <v>110</v>
      </c>
      <c r="D6" s="8" t="s">
        <v>78</v>
      </c>
      <c r="E6" s="5" t="s">
        <v>67</v>
      </c>
      <c r="F6" s="14" t="s">
        <v>78</v>
      </c>
      <c r="G6" s="14" t="s">
        <v>78</v>
      </c>
      <c r="H6" s="10" t="s">
        <v>116</v>
      </c>
      <c r="I6" s="5">
        <v>13</v>
      </c>
    </row>
    <row r="7" spans="1:9" ht="22.5" customHeight="1" x14ac:dyDescent="0.25">
      <c r="A7" s="8">
        <v>5</v>
      </c>
      <c r="B7" s="5" t="s">
        <v>78</v>
      </c>
      <c r="C7" s="5" t="s">
        <v>58</v>
      </c>
      <c r="D7" s="8" t="s">
        <v>78</v>
      </c>
      <c r="E7" s="5" t="s">
        <v>67</v>
      </c>
      <c r="F7" s="14" t="s">
        <v>78</v>
      </c>
      <c r="G7" s="14" t="s">
        <v>78</v>
      </c>
      <c r="H7" s="10" t="s">
        <v>117</v>
      </c>
      <c r="I7" s="5">
        <v>11</v>
      </c>
    </row>
    <row r="8" spans="1:9" ht="22.5" customHeight="1" x14ac:dyDescent="0.25">
      <c r="A8" s="8">
        <v>6</v>
      </c>
      <c r="B8" s="5" t="s">
        <v>78</v>
      </c>
      <c r="C8" s="5" t="s">
        <v>61</v>
      </c>
      <c r="D8" s="8" t="s">
        <v>78</v>
      </c>
      <c r="E8" s="5" t="s">
        <v>67</v>
      </c>
      <c r="F8" s="14" t="s">
        <v>78</v>
      </c>
      <c r="G8" s="14" t="s">
        <v>78</v>
      </c>
      <c r="H8" s="10" t="s">
        <v>117</v>
      </c>
      <c r="I8" s="5">
        <v>10</v>
      </c>
    </row>
    <row r="9" spans="1:9" ht="22.5" customHeight="1" x14ac:dyDescent="0.25">
      <c r="A9" s="8">
        <v>7</v>
      </c>
      <c r="B9" s="5" t="s">
        <v>78</v>
      </c>
      <c r="C9" s="5" t="s">
        <v>55</v>
      </c>
      <c r="D9" s="8" t="s">
        <v>78</v>
      </c>
      <c r="E9" s="5" t="s">
        <v>67</v>
      </c>
      <c r="F9" s="14" t="s">
        <v>78</v>
      </c>
      <c r="G9" s="14" t="s">
        <v>78</v>
      </c>
      <c r="H9" s="10" t="s">
        <v>118</v>
      </c>
      <c r="I9" s="5">
        <v>9</v>
      </c>
    </row>
    <row r="10" spans="1:9" ht="22.5" customHeight="1" x14ac:dyDescent="0.25">
      <c r="A10" s="8">
        <v>8</v>
      </c>
      <c r="B10" s="5" t="s">
        <v>78</v>
      </c>
      <c r="C10" s="5" t="s">
        <v>62</v>
      </c>
      <c r="D10" s="8" t="s">
        <v>78</v>
      </c>
      <c r="E10" s="5" t="s">
        <v>67</v>
      </c>
      <c r="F10" s="14" t="s">
        <v>78</v>
      </c>
      <c r="G10" s="14" t="s">
        <v>78</v>
      </c>
      <c r="H10" s="10" t="s">
        <v>118</v>
      </c>
      <c r="I10" s="5">
        <v>8</v>
      </c>
    </row>
    <row r="11" spans="1:9" ht="22.5" customHeight="1" x14ac:dyDescent="0.25">
      <c r="A11" s="8">
        <v>9</v>
      </c>
      <c r="B11" s="5" t="s">
        <v>78</v>
      </c>
      <c r="C11" s="5" t="s">
        <v>60</v>
      </c>
      <c r="D11" s="8" t="s">
        <v>78</v>
      </c>
      <c r="E11" s="5" t="s">
        <v>67</v>
      </c>
      <c r="F11" s="14" t="s">
        <v>78</v>
      </c>
      <c r="G11" s="14" t="s">
        <v>78</v>
      </c>
      <c r="H11" s="10" t="s">
        <v>119</v>
      </c>
      <c r="I11" s="5">
        <v>7</v>
      </c>
    </row>
    <row r="12" spans="1:9" ht="22.5" customHeight="1" x14ac:dyDescent="0.25">
      <c r="A12" s="8" t="s">
        <v>24</v>
      </c>
      <c r="B12" s="5"/>
      <c r="C12" s="5"/>
      <c r="D12" s="8"/>
      <c r="E12" s="5"/>
      <c r="F12" s="14"/>
      <c r="G12" s="14"/>
      <c r="H12" s="10"/>
      <c r="I12" s="5"/>
    </row>
    <row r="13" spans="1:9" ht="22.5" customHeight="1" x14ac:dyDescent="0.25">
      <c r="A13" s="8"/>
      <c r="B13" s="5"/>
      <c r="C13" s="5"/>
      <c r="D13" s="8"/>
      <c r="E13" s="5"/>
      <c r="F13" s="14"/>
      <c r="G13" s="14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14"/>
      <c r="G14" s="14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I30"/>
  <sheetViews>
    <sheetView workbookViewId="0">
      <selection activeCell="D1" sqref="D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120</v>
      </c>
      <c r="B1" s="6"/>
      <c r="C1" s="6"/>
      <c r="D1" s="15">
        <v>42521.854166666664</v>
      </c>
      <c r="E1" s="5" t="s">
        <v>121</v>
      </c>
      <c r="F1" s="5" t="s">
        <v>122</v>
      </c>
      <c r="G1" s="5" t="s">
        <v>172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4</v>
      </c>
      <c r="C3" s="5" t="s">
        <v>83</v>
      </c>
      <c r="D3" s="8" t="s">
        <v>78</v>
      </c>
      <c r="E3" s="5" t="s">
        <v>67</v>
      </c>
      <c r="F3" s="9">
        <v>1.077199074074074E-3</v>
      </c>
      <c r="G3" s="10">
        <v>0</v>
      </c>
      <c r="H3" s="10">
        <v>1.2499999999999999E-2</v>
      </c>
      <c r="I3" s="5">
        <v>25</v>
      </c>
    </row>
    <row r="4" spans="1:9" ht="22.5" customHeight="1" x14ac:dyDescent="0.25">
      <c r="A4" s="8">
        <v>2</v>
      </c>
      <c r="B4" s="5">
        <v>10</v>
      </c>
      <c r="C4" s="5" t="s">
        <v>110</v>
      </c>
      <c r="D4" s="8" t="s">
        <v>78</v>
      </c>
      <c r="E4" s="5" t="s">
        <v>67</v>
      </c>
      <c r="F4" s="9">
        <v>1.0783796296296297E-3</v>
      </c>
      <c r="G4" s="10">
        <f>H4-H3</f>
        <v>4.6296296296297751E-5</v>
      </c>
      <c r="H4" s="10">
        <v>1.2546296296296297E-2</v>
      </c>
      <c r="I4" s="5">
        <v>20</v>
      </c>
    </row>
    <row r="5" spans="1:9" ht="22.5" customHeight="1" x14ac:dyDescent="0.25">
      <c r="A5" s="8">
        <v>3</v>
      </c>
      <c r="B5" s="5">
        <v>9</v>
      </c>
      <c r="C5" s="5" t="s">
        <v>57</v>
      </c>
      <c r="D5" s="8" t="s">
        <v>78</v>
      </c>
      <c r="E5" s="5" t="s">
        <v>67</v>
      </c>
      <c r="F5" s="9" t="s">
        <v>173</v>
      </c>
      <c r="G5" s="10">
        <f>H5-H3</f>
        <v>4.6296296296297751E-5</v>
      </c>
      <c r="H5" s="10">
        <v>1.2546296296296297E-2</v>
      </c>
      <c r="I5" s="5">
        <v>16</v>
      </c>
    </row>
    <row r="6" spans="1:9" ht="22.5" customHeight="1" x14ac:dyDescent="0.25">
      <c r="A6" s="8">
        <v>4</v>
      </c>
      <c r="B6" s="5">
        <v>7</v>
      </c>
      <c r="C6" s="5" t="s">
        <v>58</v>
      </c>
      <c r="D6" s="8" t="s">
        <v>78</v>
      </c>
      <c r="E6" s="5" t="s">
        <v>67</v>
      </c>
      <c r="F6" s="9" t="s">
        <v>174</v>
      </c>
      <c r="G6" s="10">
        <f>H6-H3</f>
        <v>5.7870370370371321E-5</v>
      </c>
      <c r="H6" s="10">
        <v>1.255787037037037E-2</v>
      </c>
      <c r="I6" s="5">
        <v>13</v>
      </c>
    </row>
    <row r="7" spans="1:9" ht="22.5" customHeight="1" x14ac:dyDescent="0.25">
      <c r="A7" s="8">
        <v>5</v>
      </c>
      <c r="B7" s="5">
        <v>6</v>
      </c>
      <c r="C7" s="5" t="s">
        <v>62</v>
      </c>
      <c r="D7" s="8" t="s">
        <v>78</v>
      </c>
      <c r="E7" s="5" t="s">
        <v>67</v>
      </c>
      <c r="F7" s="9">
        <v>1.6498842592592591E-3</v>
      </c>
      <c r="G7" s="10">
        <f>H7-H3</f>
        <v>1.0416666666666734E-4</v>
      </c>
      <c r="H7" s="10">
        <v>1.2604166666666666E-2</v>
      </c>
      <c r="I7" s="5">
        <v>11</v>
      </c>
    </row>
    <row r="8" spans="1:9" ht="22.5" customHeight="1" x14ac:dyDescent="0.25">
      <c r="A8" s="8">
        <v>6</v>
      </c>
      <c r="B8" s="5">
        <v>1</v>
      </c>
      <c r="C8" s="5" t="s">
        <v>56</v>
      </c>
      <c r="D8" s="8" t="s">
        <v>78</v>
      </c>
      <c r="E8" s="5" t="s">
        <v>67</v>
      </c>
      <c r="F8" s="9" t="s">
        <v>175</v>
      </c>
      <c r="G8" s="10">
        <f>H8-H3</f>
        <v>2.7777777777777783E-4</v>
      </c>
      <c r="H8" s="10">
        <v>1.2777777777777777E-2</v>
      </c>
      <c r="I8" s="5">
        <v>10</v>
      </c>
    </row>
    <row r="9" spans="1:9" ht="22.5" customHeight="1" x14ac:dyDescent="0.25">
      <c r="A9" s="8">
        <v>7</v>
      </c>
      <c r="B9" s="5">
        <v>8</v>
      </c>
      <c r="C9" s="5" t="s">
        <v>55</v>
      </c>
      <c r="D9" s="8" t="s">
        <v>78</v>
      </c>
      <c r="E9" s="5" t="s">
        <v>67</v>
      </c>
      <c r="F9" s="9" t="s">
        <v>176</v>
      </c>
      <c r="G9" s="10">
        <f>H9-H3</f>
        <v>2.7777777777777783E-4</v>
      </c>
      <c r="H9" s="10">
        <v>1.2777777777777777E-2</v>
      </c>
      <c r="I9" s="5">
        <v>9</v>
      </c>
    </row>
    <row r="10" spans="1:9" ht="22.5" customHeight="1" x14ac:dyDescent="0.25">
      <c r="A10" s="8">
        <v>8</v>
      </c>
      <c r="B10" s="5">
        <v>3</v>
      </c>
      <c r="C10" s="5" t="s">
        <v>61</v>
      </c>
      <c r="D10" s="8" t="s">
        <v>78</v>
      </c>
      <c r="E10" s="5" t="s">
        <v>67</v>
      </c>
      <c r="F10" s="9">
        <v>1.0787731481481484E-3</v>
      </c>
      <c r="G10" s="10">
        <f>H10-H3</f>
        <v>4.1666666666666761E-4</v>
      </c>
      <c r="H10" s="10">
        <v>1.2916666666666667E-2</v>
      </c>
      <c r="I10" s="5">
        <v>8</v>
      </c>
    </row>
    <row r="11" spans="1:9" ht="22.5" customHeight="1" x14ac:dyDescent="0.25">
      <c r="A11" s="8">
        <v>9</v>
      </c>
      <c r="B11" s="5">
        <v>5</v>
      </c>
      <c r="C11" s="5" t="s">
        <v>59</v>
      </c>
      <c r="D11" s="8" t="s">
        <v>78</v>
      </c>
      <c r="E11" s="5" t="s">
        <v>67</v>
      </c>
      <c r="F11" s="9">
        <v>1.0776041666666666E-3</v>
      </c>
      <c r="G11" s="10">
        <f>H11-H3</f>
        <v>4.8611111111111077E-4</v>
      </c>
      <c r="H11" s="10">
        <v>1.298611111111111E-2</v>
      </c>
      <c r="I11" s="5">
        <v>7</v>
      </c>
    </row>
    <row r="12" spans="1:9" ht="22.5" customHeight="1" x14ac:dyDescent="0.25">
      <c r="A12" s="8">
        <v>10</v>
      </c>
      <c r="B12" s="5">
        <v>2</v>
      </c>
      <c r="C12" s="5" t="s">
        <v>66</v>
      </c>
      <c r="D12" s="8" t="s">
        <v>78</v>
      </c>
      <c r="E12" s="5" t="s">
        <v>67</v>
      </c>
      <c r="F12" s="9" t="s">
        <v>177</v>
      </c>
      <c r="G12" s="10" t="s">
        <v>71</v>
      </c>
      <c r="H12" s="10" t="s">
        <v>71</v>
      </c>
      <c r="I12" s="5">
        <v>6</v>
      </c>
    </row>
    <row r="13" spans="1:9" ht="22.5" customHeight="1" x14ac:dyDescent="0.25">
      <c r="A13" s="8" t="s">
        <v>24</v>
      </c>
      <c r="B13" s="5"/>
      <c r="C13" s="5"/>
      <c r="D13" s="8"/>
      <c r="E13" s="5"/>
      <c r="F13" s="9"/>
      <c r="G13" s="10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9"/>
      <c r="G14" s="10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I30"/>
  <sheetViews>
    <sheetView workbookViewId="0">
      <selection activeCell="D1" sqref="D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123</v>
      </c>
      <c r="B1" s="6"/>
      <c r="C1" s="6"/>
      <c r="D1" s="15">
        <v>42521.854166666664</v>
      </c>
      <c r="E1" s="5" t="s">
        <v>124</v>
      </c>
      <c r="F1" s="5" t="s">
        <v>122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10</v>
      </c>
      <c r="C3" s="5" t="s">
        <v>83</v>
      </c>
      <c r="D3" s="8" t="s">
        <v>78</v>
      </c>
      <c r="E3" s="5" t="s">
        <v>67</v>
      </c>
      <c r="F3" s="14" t="s">
        <v>78</v>
      </c>
      <c r="G3" s="14" t="s">
        <v>78</v>
      </c>
      <c r="H3" s="14" t="s">
        <v>178</v>
      </c>
      <c r="I3" s="5">
        <v>25</v>
      </c>
    </row>
    <row r="4" spans="1:9" ht="22.5" customHeight="1" x14ac:dyDescent="0.25">
      <c r="A4" s="8">
        <v>2</v>
      </c>
      <c r="B4" s="5">
        <v>2</v>
      </c>
      <c r="C4" s="5" t="s">
        <v>59</v>
      </c>
      <c r="D4" s="8" t="s">
        <v>78</v>
      </c>
      <c r="E4" s="5" t="s">
        <v>67</v>
      </c>
      <c r="F4" s="14" t="s">
        <v>78</v>
      </c>
      <c r="G4" s="14" t="s">
        <v>78</v>
      </c>
      <c r="H4" s="14" t="s">
        <v>178</v>
      </c>
      <c r="I4" s="5">
        <v>20</v>
      </c>
    </row>
    <row r="5" spans="1:9" ht="22.5" customHeight="1" x14ac:dyDescent="0.25">
      <c r="A5" s="8">
        <v>3</v>
      </c>
      <c r="B5" s="5">
        <v>3</v>
      </c>
      <c r="C5" s="5" t="s">
        <v>61</v>
      </c>
      <c r="D5" s="8" t="s">
        <v>78</v>
      </c>
      <c r="E5" s="5" t="s">
        <v>67</v>
      </c>
      <c r="F5" s="14" t="s">
        <v>78</v>
      </c>
      <c r="G5" s="14" t="s">
        <v>78</v>
      </c>
      <c r="H5" s="14" t="s">
        <v>179</v>
      </c>
      <c r="I5" s="5">
        <v>16</v>
      </c>
    </row>
    <row r="6" spans="1:9" ht="22.5" customHeight="1" x14ac:dyDescent="0.25">
      <c r="A6" s="8">
        <v>4</v>
      </c>
      <c r="B6" s="5">
        <v>9</v>
      </c>
      <c r="C6" s="5" t="s">
        <v>110</v>
      </c>
      <c r="D6" s="8" t="s">
        <v>78</v>
      </c>
      <c r="E6" s="5" t="s">
        <v>67</v>
      </c>
      <c r="F6" s="14" t="s">
        <v>78</v>
      </c>
      <c r="G6" s="14" t="s">
        <v>78</v>
      </c>
      <c r="H6" s="14" t="s">
        <v>179</v>
      </c>
      <c r="I6" s="5">
        <v>13</v>
      </c>
    </row>
    <row r="7" spans="1:9" ht="22.5" customHeight="1" x14ac:dyDescent="0.25">
      <c r="A7" s="8">
        <v>5</v>
      </c>
      <c r="B7" s="5">
        <v>8</v>
      </c>
      <c r="C7" s="5" t="s">
        <v>57</v>
      </c>
      <c r="D7" s="8" t="s">
        <v>78</v>
      </c>
      <c r="E7" s="5" t="s">
        <v>67</v>
      </c>
      <c r="F7" s="14" t="s">
        <v>78</v>
      </c>
      <c r="G7" s="14" t="s">
        <v>78</v>
      </c>
      <c r="H7" s="14" t="s">
        <v>179</v>
      </c>
      <c r="I7" s="5">
        <v>11</v>
      </c>
    </row>
    <row r="8" spans="1:9" ht="22.5" customHeight="1" x14ac:dyDescent="0.25">
      <c r="A8" s="8">
        <v>6</v>
      </c>
      <c r="B8" s="5">
        <v>7</v>
      </c>
      <c r="C8" s="5" t="s">
        <v>58</v>
      </c>
      <c r="D8" s="8" t="s">
        <v>78</v>
      </c>
      <c r="E8" s="5" t="s">
        <v>67</v>
      </c>
      <c r="F8" s="14" t="s">
        <v>78</v>
      </c>
      <c r="G8" s="14" t="s">
        <v>78</v>
      </c>
      <c r="H8" s="14" t="s">
        <v>179</v>
      </c>
      <c r="I8" s="5">
        <v>10</v>
      </c>
    </row>
    <row r="9" spans="1:9" ht="22.5" customHeight="1" x14ac:dyDescent="0.25">
      <c r="A9" s="8">
        <v>7</v>
      </c>
      <c r="B9" s="5">
        <v>4</v>
      </c>
      <c r="C9" s="5" t="s">
        <v>55</v>
      </c>
      <c r="D9" s="8" t="s">
        <v>78</v>
      </c>
      <c r="E9" s="5" t="s">
        <v>67</v>
      </c>
      <c r="F9" s="14" t="s">
        <v>78</v>
      </c>
      <c r="G9" s="14" t="s">
        <v>78</v>
      </c>
      <c r="H9" s="14" t="s">
        <v>180</v>
      </c>
      <c r="I9" s="5">
        <v>9</v>
      </c>
    </row>
    <row r="10" spans="1:9" ht="22.5" customHeight="1" x14ac:dyDescent="0.25">
      <c r="A10" s="8">
        <v>8</v>
      </c>
      <c r="B10" s="5">
        <v>6</v>
      </c>
      <c r="C10" s="5" t="s">
        <v>62</v>
      </c>
      <c r="D10" s="8" t="s">
        <v>78</v>
      </c>
      <c r="E10" s="5" t="s">
        <v>67</v>
      </c>
      <c r="F10" s="14" t="s">
        <v>78</v>
      </c>
      <c r="G10" s="14" t="s">
        <v>78</v>
      </c>
      <c r="H10" s="14" t="s">
        <v>181</v>
      </c>
      <c r="I10" s="5">
        <v>8</v>
      </c>
    </row>
    <row r="11" spans="1:9" ht="22.5" customHeight="1" x14ac:dyDescent="0.25">
      <c r="A11" s="8">
        <v>9</v>
      </c>
      <c r="B11" s="5">
        <v>1</v>
      </c>
      <c r="C11" s="5" t="s">
        <v>66</v>
      </c>
      <c r="D11" s="8" t="s">
        <v>78</v>
      </c>
      <c r="E11" s="5" t="s">
        <v>67</v>
      </c>
      <c r="F11" s="14" t="s">
        <v>78</v>
      </c>
      <c r="G11" s="14" t="s">
        <v>78</v>
      </c>
      <c r="H11" s="14" t="s">
        <v>71</v>
      </c>
      <c r="I11" s="5">
        <v>7</v>
      </c>
    </row>
    <row r="12" spans="1:9" ht="22.5" customHeight="1" x14ac:dyDescent="0.25">
      <c r="A12" s="8">
        <v>10</v>
      </c>
      <c r="B12" s="5">
        <v>5</v>
      </c>
      <c r="C12" s="5" t="s">
        <v>56</v>
      </c>
      <c r="D12" s="8" t="s">
        <v>78</v>
      </c>
      <c r="E12" s="5" t="s">
        <v>67</v>
      </c>
      <c r="F12" s="14" t="s">
        <v>78</v>
      </c>
      <c r="G12" s="14" t="s">
        <v>78</v>
      </c>
      <c r="H12" s="14" t="s">
        <v>71</v>
      </c>
      <c r="I12" s="5">
        <v>6</v>
      </c>
    </row>
    <row r="13" spans="1:9" ht="22.5" customHeight="1" x14ac:dyDescent="0.25">
      <c r="A13" s="8" t="s">
        <v>24</v>
      </c>
      <c r="B13" s="5"/>
      <c r="C13" s="5"/>
      <c r="D13" s="8"/>
      <c r="E13" s="5"/>
      <c r="F13" s="9"/>
      <c r="G13" s="10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9"/>
      <c r="G14" s="10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I30"/>
  <sheetViews>
    <sheetView workbookViewId="0">
      <selection activeCell="D1" sqref="D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125</v>
      </c>
      <c r="B1" s="6"/>
      <c r="C1" s="6"/>
      <c r="D1" s="15">
        <v>42535.854166666664</v>
      </c>
      <c r="E1" s="5" t="s">
        <v>126</v>
      </c>
      <c r="F1" s="5" t="s">
        <v>127</v>
      </c>
      <c r="G1" s="5" t="s">
        <v>168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1</v>
      </c>
      <c r="C3" s="5" t="s">
        <v>58</v>
      </c>
      <c r="D3" s="8" t="s">
        <v>78</v>
      </c>
      <c r="E3" s="5" t="s">
        <v>67</v>
      </c>
      <c r="F3" s="9">
        <v>1.184386574074074E-3</v>
      </c>
      <c r="G3" s="10">
        <v>0</v>
      </c>
      <c r="H3" s="10">
        <v>1.3414351851851851E-2</v>
      </c>
      <c r="I3" s="5">
        <v>25</v>
      </c>
    </row>
    <row r="4" spans="1:9" ht="22.5" customHeight="1" x14ac:dyDescent="0.25">
      <c r="A4" s="8">
        <v>2</v>
      </c>
      <c r="B4" s="5">
        <v>4</v>
      </c>
      <c r="C4" s="5" t="s">
        <v>66</v>
      </c>
      <c r="D4" s="8" t="s">
        <v>78</v>
      </c>
      <c r="E4" s="5" t="s">
        <v>67</v>
      </c>
      <c r="F4" s="9">
        <v>1.4493981481481482E-3</v>
      </c>
      <c r="G4" s="10">
        <f>H4-H3</f>
        <v>2.3148148148148875E-5</v>
      </c>
      <c r="H4" s="10">
        <v>1.34375E-2</v>
      </c>
      <c r="I4" s="5">
        <v>20</v>
      </c>
    </row>
    <row r="5" spans="1:9" ht="22.5" customHeight="1" x14ac:dyDescent="0.25">
      <c r="A5" s="8">
        <v>3</v>
      </c>
      <c r="B5" s="5">
        <v>5</v>
      </c>
      <c r="C5" s="5" t="s">
        <v>110</v>
      </c>
      <c r="D5" s="8" t="s">
        <v>78</v>
      </c>
      <c r="E5" s="5" t="s">
        <v>67</v>
      </c>
      <c r="F5" s="9">
        <v>1.1891087962962964E-3</v>
      </c>
      <c r="G5" s="10">
        <f>H5-H3</f>
        <v>3.4722222222222446E-5</v>
      </c>
      <c r="H5" s="10">
        <v>1.3449074074074073E-2</v>
      </c>
      <c r="I5" s="5">
        <v>16</v>
      </c>
    </row>
    <row r="6" spans="1:9" ht="22.5" customHeight="1" x14ac:dyDescent="0.25">
      <c r="A6" s="8">
        <v>4</v>
      </c>
      <c r="B6" s="5">
        <v>2</v>
      </c>
      <c r="C6" s="5" t="s">
        <v>56</v>
      </c>
      <c r="D6" s="8" t="s">
        <v>78</v>
      </c>
      <c r="E6" s="5" t="s">
        <v>67</v>
      </c>
      <c r="F6" s="9">
        <v>1.1863773148148148E-3</v>
      </c>
      <c r="G6" s="10">
        <f>H6-H3</f>
        <v>4.6296296296296016E-5</v>
      </c>
      <c r="H6" s="10">
        <v>1.3460648148148147E-2</v>
      </c>
      <c r="I6" s="5">
        <v>13</v>
      </c>
    </row>
    <row r="7" spans="1:9" ht="22.5" customHeight="1" x14ac:dyDescent="0.25">
      <c r="A7" s="8">
        <v>5</v>
      </c>
      <c r="B7" s="5">
        <v>3</v>
      </c>
      <c r="C7" s="5" t="s">
        <v>57</v>
      </c>
      <c r="D7" s="8" t="s">
        <v>78</v>
      </c>
      <c r="E7" s="5" t="s">
        <v>67</v>
      </c>
      <c r="F7" s="9">
        <v>1.1809259259259258E-3</v>
      </c>
      <c r="G7" s="10">
        <f>H7-H3</f>
        <v>4.6296296296296016E-5</v>
      </c>
      <c r="H7" s="10">
        <v>1.3460648148148147E-2</v>
      </c>
      <c r="I7" s="5">
        <v>11</v>
      </c>
    </row>
    <row r="8" spans="1:9" ht="22.5" customHeight="1" x14ac:dyDescent="0.25">
      <c r="A8" s="8">
        <v>6</v>
      </c>
      <c r="B8" s="5">
        <v>9</v>
      </c>
      <c r="C8" s="5" t="s">
        <v>59</v>
      </c>
      <c r="D8" s="8" t="s">
        <v>78</v>
      </c>
      <c r="E8" s="5" t="s">
        <v>67</v>
      </c>
      <c r="F8" s="9">
        <v>1.1888657407407408E-3</v>
      </c>
      <c r="G8" s="10">
        <f>H8-H3</f>
        <v>2.0833333333333294E-4</v>
      </c>
      <c r="H8" s="10">
        <v>1.3622685185185184E-2</v>
      </c>
      <c r="I8" s="5">
        <v>10</v>
      </c>
    </row>
    <row r="9" spans="1:9" ht="22.5" customHeight="1" x14ac:dyDescent="0.25">
      <c r="A9" s="8">
        <v>7</v>
      </c>
      <c r="B9" s="5">
        <v>7</v>
      </c>
      <c r="C9" s="5" t="s">
        <v>61</v>
      </c>
      <c r="D9" s="8" t="s">
        <v>78</v>
      </c>
      <c r="E9" s="5" t="s">
        <v>67</v>
      </c>
      <c r="F9" s="9">
        <v>1.1941782407407407E-3</v>
      </c>
      <c r="G9" s="10">
        <f>H9-H3</f>
        <v>4.0509259259259404E-4</v>
      </c>
      <c r="H9" s="10">
        <v>1.3819444444444445E-2</v>
      </c>
      <c r="I9" s="5">
        <v>9</v>
      </c>
    </row>
    <row r="10" spans="1:9" ht="22.5" customHeight="1" x14ac:dyDescent="0.25">
      <c r="A10" s="8">
        <v>8</v>
      </c>
      <c r="B10" s="5">
        <v>8</v>
      </c>
      <c r="C10" s="5" t="s">
        <v>62</v>
      </c>
      <c r="D10" s="8" t="s">
        <v>78</v>
      </c>
      <c r="E10" s="5" t="s">
        <v>67</v>
      </c>
      <c r="F10" s="9">
        <v>1.1973842592592594E-3</v>
      </c>
      <c r="G10" s="10" t="s">
        <v>71</v>
      </c>
      <c r="H10" s="10" t="s">
        <v>71</v>
      </c>
      <c r="I10" s="5">
        <v>8</v>
      </c>
    </row>
    <row r="11" spans="1:9" ht="22.5" customHeight="1" x14ac:dyDescent="0.25">
      <c r="A11" s="8">
        <v>9</v>
      </c>
      <c r="B11" s="5">
        <v>6</v>
      </c>
      <c r="C11" s="5" t="s">
        <v>55</v>
      </c>
      <c r="D11" s="8" t="s">
        <v>78</v>
      </c>
      <c r="E11" s="5" t="s">
        <v>67</v>
      </c>
      <c r="F11" s="9" t="s">
        <v>169</v>
      </c>
      <c r="G11" s="10" t="s">
        <v>71</v>
      </c>
      <c r="H11" s="10" t="s">
        <v>71</v>
      </c>
      <c r="I11" s="5">
        <v>7</v>
      </c>
    </row>
    <row r="12" spans="1:9" ht="22.5" customHeight="1" x14ac:dyDescent="0.25">
      <c r="A12" s="8" t="s">
        <v>24</v>
      </c>
      <c r="B12" s="5"/>
      <c r="C12" s="5"/>
      <c r="D12" s="8"/>
      <c r="E12" s="5"/>
      <c r="F12" s="9"/>
      <c r="G12" s="10"/>
      <c r="H12" s="10"/>
      <c r="I12" s="5"/>
    </row>
    <row r="13" spans="1:9" ht="22.5" customHeight="1" x14ac:dyDescent="0.25">
      <c r="A13" s="8"/>
      <c r="B13" s="5"/>
      <c r="C13" s="5"/>
      <c r="D13" s="8"/>
      <c r="E13" s="5"/>
      <c r="F13" s="9"/>
      <c r="G13" s="10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9"/>
      <c r="G14" s="10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I30"/>
  <sheetViews>
    <sheetView workbookViewId="0">
      <selection activeCell="D1" sqref="D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128</v>
      </c>
      <c r="B1" s="6"/>
      <c r="C1" s="6"/>
      <c r="D1" s="15">
        <v>42535.854166666664</v>
      </c>
      <c r="E1" s="5" t="s">
        <v>129</v>
      </c>
      <c r="F1" s="5" t="s">
        <v>127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5</v>
      </c>
      <c r="C3" s="5" t="s">
        <v>57</v>
      </c>
      <c r="D3" s="8" t="s">
        <v>78</v>
      </c>
      <c r="E3" s="5" t="s">
        <v>67</v>
      </c>
      <c r="F3" s="14" t="s">
        <v>78</v>
      </c>
      <c r="G3" s="14" t="s">
        <v>78</v>
      </c>
      <c r="H3" s="14" t="s">
        <v>170</v>
      </c>
      <c r="I3" s="5">
        <v>25</v>
      </c>
    </row>
    <row r="4" spans="1:9" ht="22.5" customHeight="1" x14ac:dyDescent="0.25">
      <c r="A4" s="8">
        <v>2</v>
      </c>
      <c r="B4" s="5">
        <v>8</v>
      </c>
      <c r="C4" s="5" t="s">
        <v>66</v>
      </c>
      <c r="D4" s="8" t="s">
        <v>78</v>
      </c>
      <c r="E4" s="5" t="s">
        <v>67</v>
      </c>
      <c r="F4" s="14" t="s">
        <v>78</v>
      </c>
      <c r="G4" s="14" t="s">
        <v>78</v>
      </c>
      <c r="H4" s="14" t="s">
        <v>170</v>
      </c>
      <c r="I4" s="5">
        <v>20</v>
      </c>
    </row>
    <row r="5" spans="1:9" ht="22.5" customHeight="1" x14ac:dyDescent="0.25">
      <c r="A5" s="8">
        <v>3</v>
      </c>
      <c r="B5" s="5">
        <v>6</v>
      </c>
      <c r="C5" s="5" t="s">
        <v>56</v>
      </c>
      <c r="D5" s="8" t="s">
        <v>78</v>
      </c>
      <c r="E5" s="5" t="s">
        <v>67</v>
      </c>
      <c r="F5" s="14" t="s">
        <v>78</v>
      </c>
      <c r="G5" s="14" t="s">
        <v>78</v>
      </c>
      <c r="H5" s="14" t="s">
        <v>170</v>
      </c>
      <c r="I5" s="5">
        <v>16</v>
      </c>
    </row>
    <row r="6" spans="1:9" ht="22.5" customHeight="1" x14ac:dyDescent="0.25">
      <c r="A6" s="8">
        <v>4</v>
      </c>
      <c r="B6" s="5">
        <v>7</v>
      </c>
      <c r="C6" s="5" t="s">
        <v>110</v>
      </c>
      <c r="D6" s="8" t="s">
        <v>78</v>
      </c>
      <c r="E6" s="5" t="s">
        <v>67</v>
      </c>
      <c r="F6" s="14" t="s">
        <v>78</v>
      </c>
      <c r="G6" s="14" t="s">
        <v>78</v>
      </c>
      <c r="H6" s="14" t="s">
        <v>119</v>
      </c>
      <c r="I6" s="5">
        <v>13</v>
      </c>
    </row>
    <row r="7" spans="1:9" ht="22.5" customHeight="1" x14ac:dyDescent="0.25">
      <c r="A7" s="8">
        <v>5</v>
      </c>
      <c r="B7" s="5">
        <v>1</v>
      </c>
      <c r="C7" s="5" t="s">
        <v>55</v>
      </c>
      <c r="D7" s="8" t="s">
        <v>78</v>
      </c>
      <c r="E7" s="5" t="s">
        <v>67</v>
      </c>
      <c r="F7" s="14" t="s">
        <v>78</v>
      </c>
      <c r="G7" s="14" t="s">
        <v>78</v>
      </c>
      <c r="H7" s="14" t="s">
        <v>101</v>
      </c>
      <c r="I7" s="5">
        <v>11</v>
      </c>
    </row>
    <row r="8" spans="1:9" ht="22.5" customHeight="1" x14ac:dyDescent="0.25">
      <c r="A8" s="8">
        <v>6</v>
      </c>
      <c r="B8" s="5">
        <v>9</v>
      </c>
      <c r="C8" s="5" t="s">
        <v>58</v>
      </c>
      <c r="D8" s="8" t="s">
        <v>78</v>
      </c>
      <c r="E8" s="5" t="s">
        <v>67</v>
      </c>
      <c r="F8" s="14" t="s">
        <v>78</v>
      </c>
      <c r="G8" s="14" t="s">
        <v>78</v>
      </c>
      <c r="H8" s="14" t="s">
        <v>102</v>
      </c>
      <c r="I8" s="5">
        <v>10</v>
      </c>
    </row>
    <row r="9" spans="1:9" ht="22.5" customHeight="1" x14ac:dyDescent="0.25">
      <c r="A9" s="8">
        <v>7</v>
      </c>
      <c r="B9" s="5">
        <v>3</v>
      </c>
      <c r="C9" s="5" t="s">
        <v>61</v>
      </c>
      <c r="D9" s="8" t="s">
        <v>78</v>
      </c>
      <c r="E9" s="5" t="s">
        <v>67</v>
      </c>
      <c r="F9" s="14" t="s">
        <v>78</v>
      </c>
      <c r="G9" s="14" t="s">
        <v>78</v>
      </c>
      <c r="H9" s="14" t="s">
        <v>102</v>
      </c>
      <c r="I9" s="5">
        <v>9</v>
      </c>
    </row>
    <row r="10" spans="1:9" ht="22.5" customHeight="1" x14ac:dyDescent="0.25">
      <c r="A10" s="8">
        <v>8</v>
      </c>
      <c r="B10" s="5">
        <v>4</v>
      </c>
      <c r="C10" s="5" t="s">
        <v>59</v>
      </c>
      <c r="D10" s="8" t="s">
        <v>78</v>
      </c>
      <c r="E10" s="5" t="s">
        <v>67</v>
      </c>
      <c r="F10" s="14" t="s">
        <v>78</v>
      </c>
      <c r="G10" s="14" t="s">
        <v>78</v>
      </c>
      <c r="H10" s="14" t="s">
        <v>103</v>
      </c>
      <c r="I10" s="5">
        <v>8</v>
      </c>
    </row>
    <row r="11" spans="1:9" ht="22.5" customHeight="1" x14ac:dyDescent="0.25">
      <c r="A11" s="8">
        <v>9</v>
      </c>
      <c r="B11" s="5">
        <v>2</v>
      </c>
      <c r="C11" s="5" t="s">
        <v>62</v>
      </c>
      <c r="D11" s="8" t="s">
        <v>78</v>
      </c>
      <c r="E11" s="5" t="s">
        <v>67</v>
      </c>
      <c r="F11" s="14" t="s">
        <v>78</v>
      </c>
      <c r="G11" s="14" t="s">
        <v>78</v>
      </c>
      <c r="H11" s="14" t="s">
        <v>171</v>
      </c>
      <c r="I11" s="5">
        <v>7</v>
      </c>
    </row>
    <row r="12" spans="1:9" ht="22.5" customHeight="1" x14ac:dyDescent="0.25">
      <c r="A12" s="8" t="s">
        <v>24</v>
      </c>
      <c r="B12" s="5"/>
      <c r="C12" s="5"/>
      <c r="D12" s="8"/>
      <c r="E12" s="5"/>
      <c r="F12" s="9"/>
      <c r="G12" s="10"/>
      <c r="H12" s="10"/>
      <c r="I12" s="5"/>
    </row>
    <row r="13" spans="1:9" ht="22.5" customHeight="1" x14ac:dyDescent="0.25">
      <c r="A13" s="8"/>
      <c r="B13" s="5"/>
      <c r="C13" s="5"/>
      <c r="D13" s="8"/>
      <c r="E13" s="5"/>
      <c r="F13" s="9"/>
      <c r="G13" s="10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9"/>
      <c r="G14" s="10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I30"/>
  <sheetViews>
    <sheetView workbookViewId="0">
      <selection activeCell="D1" sqref="D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130</v>
      </c>
      <c r="B1" s="6"/>
      <c r="C1" s="6"/>
      <c r="D1" s="15">
        <v>42549.854166666664</v>
      </c>
      <c r="E1" s="5" t="s">
        <v>131</v>
      </c>
      <c r="F1" s="5" t="s">
        <v>132</v>
      </c>
      <c r="G1" s="5" t="s">
        <v>182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1</v>
      </c>
      <c r="C3" s="5" t="s">
        <v>66</v>
      </c>
      <c r="D3" s="8" t="s">
        <v>78</v>
      </c>
      <c r="E3" s="5" t="s">
        <v>67</v>
      </c>
      <c r="F3" s="9">
        <v>1.0765509259259259E-3</v>
      </c>
      <c r="G3" s="10">
        <v>0</v>
      </c>
      <c r="H3" s="10">
        <v>1.2662037037037039E-2</v>
      </c>
      <c r="I3" s="5">
        <v>25</v>
      </c>
    </row>
    <row r="4" spans="1:9" ht="22.5" customHeight="1" x14ac:dyDescent="0.25">
      <c r="A4" s="8">
        <v>2</v>
      </c>
      <c r="B4" s="5">
        <v>2</v>
      </c>
      <c r="C4" s="5" t="s">
        <v>58</v>
      </c>
      <c r="D4" s="8" t="s">
        <v>78</v>
      </c>
      <c r="E4" s="5" t="s">
        <v>67</v>
      </c>
      <c r="F4" s="9">
        <v>1.8016550925925923E-3</v>
      </c>
      <c r="G4" s="10">
        <f>H4-H3</f>
        <v>2.3148148148143671E-5</v>
      </c>
      <c r="H4" s="10">
        <v>1.2685185185185183E-2</v>
      </c>
      <c r="I4" s="5">
        <v>20</v>
      </c>
    </row>
    <row r="5" spans="1:9" ht="22.5" customHeight="1" x14ac:dyDescent="0.25">
      <c r="A5" s="8">
        <v>3</v>
      </c>
      <c r="B5" s="5">
        <v>6</v>
      </c>
      <c r="C5" s="5" t="s">
        <v>56</v>
      </c>
      <c r="D5" s="8" t="s">
        <v>78</v>
      </c>
      <c r="E5" s="5" t="s">
        <v>67</v>
      </c>
      <c r="F5" s="9">
        <v>1.7938541666666667E-3</v>
      </c>
      <c r="G5" s="10">
        <f>H5-H3</f>
        <v>6.9444444444441422E-5</v>
      </c>
      <c r="H5" s="10">
        <v>1.2731481481481481E-2</v>
      </c>
      <c r="I5" s="5">
        <v>16</v>
      </c>
    </row>
    <row r="6" spans="1:9" ht="22.5" customHeight="1" x14ac:dyDescent="0.25">
      <c r="A6" s="8">
        <v>4</v>
      </c>
      <c r="B6" s="5">
        <v>3</v>
      </c>
      <c r="C6" s="5" t="s">
        <v>110</v>
      </c>
      <c r="D6" s="8" t="s">
        <v>78</v>
      </c>
      <c r="E6" s="5" t="s">
        <v>67</v>
      </c>
      <c r="F6" s="9">
        <v>1.8102546296296295E-3</v>
      </c>
      <c r="G6" s="10">
        <f>H6-H3</f>
        <v>6.9444444444441422E-5</v>
      </c>
      <c r="H6" s="10">
        <v>1.2731481481481481E-2</v>
      </c>
      <c r="I6" s="5">
        <v>13</v>
      </c>
    </row>
    <row r="7" spans="1:9" ht="22.5" customHeight="1" x14ac:dyDescent="0.25">
      <c r="A7" s="8">
        <v>5</v>
      </c>
      <c r="B7" s="5">
        <v>4</v>
      </c>
      <c r="C7" s="5" t="s">
        <v>55</v>
      </c>
      <c r="D7" s="8" t="s">
        <v>78</v>
      </c>
      <c r="E7" s="5" t="s">
        <v>67</v>
      </c>
      <c r="F7" s="9">
        <v>1.0821412037037037E-3</v>
      </c>
      <c r="G7" s="10">
        <f>H7-H3</f>
        <v>9.2592592592590298E-5</v>
      </c>
      <c r="H7" s="10">
        <v>1.275462962962963E-2</v>
      </c>
      <c r="I7" s="5">
        <v>11</v>
      </c>
    </row>
    <row r="8" spans="1:9" ht="22.5" customHeight="1" x14ac:dyDescent="0.25">
      <c r="A8" s="8">
        <v>6</v>
      </c>
      <c r="B8" s="5">
        <v>8</v>
      </c>
      <c r="C8" s="5" t="s">
        <v>60</v>
      </c>
      <c r="D8" s="8" t="s">
        <v>78</v>
      </c>
      <c r="E8" s="5" t="s">
        <v>67</v>
      </c>
      <c r="F8" s="9">
        <v>1.0884953703703703E-3</v>
      </c>
      <c r="G8" s="10">
        <f>H8-H3</f>
        <v>1.7361111111111049E-4</v>
      </c>
      <c r="H8" s="10">
        <v>1.283564814814815E-2</v>
      </c>
      <c r="I8" s="5">
        <v>10</v>
      </c>
    </row>
    <row r="9" spans="1:9" ht="22.5" customHeight="1" x14ac:dyDescent="0.25">
      <c r="A9" s="8">
        <v>7</v>
      </c>
      <c r="B9" s="5">
        <v>5</v>
      </c>
      <c r="C9" s="5" t="s">
        <v>57</v>
      </c>
      <c r="D9" s="8" t="s">
        <v>78</v>
      </c>
      <c r="E9" s="5" t="s">
        <v>67</v>
      </c>
      <c r="F9" s="9">
        <v>1.0822106481481483E-3</v>
      </c>
      <c r="G9" s="10">
        <f>H9-H3</f>
        <v>1.9675925925925764E-4</v>
      </c>
      <c r="H9" s="10">
        <v>1.2858796296296297E-2</v>
      </c>
      <c r="I9" s="5">
        <v>9</v>
      </c>
    </row>
    <row r="10" spans="1:9" ht="22.5" customHeight="1" x14ac:dyDescent="0.25">
      <c r="A10" s="8">
        <v>8</v>
      </c>
      <c r="B10" s="5">
        <v>7</v>
      </c>
      <c r="C10" s="5" t="s">
        <v>61</v>
      </c>
      <c r="D10" s="8" t="s">
        <v>78</v>
      </c>
      <c r="E10" s="5" t="s">
        <v>67</v>
      </c>
      <c r="F10" s="9">
        <v>1.0799421296296297E-3</v>
      </c>
      <c r="G10" s="10">
        <f>H10-H3</f>
        <v>2.5462962962962722E-4</v>
      </c>
      <c r="H10" s="10">
        <v>1.2916666666666667E-2</v>
      </c>
      <c r="I10" s="5">
        <v>8</v>
      </c>
    </row>
    <row r="11" spans="1:9" ht="22.5" customHeight="1" x14ac:dyDescent="0.25">
      <c r="A11" s="8">
        <v>9</v>
      </c>
      <c r="B11" s="5">
        <v>10</v>
      </c>
      <c r="C11" s="5" t="s">
        <v>183</v>
      </c>
      <c r="D11" s="8" t="s">
        <v>78</v>
      </c>
      <c r="E11" s="5" t="s">
        <v>67</v>
      </c>
      <c r="F11" s="9">
        <v>1.0867245370370371E-3</v>
      </c>
      <c r="G11" s="10">
        <f>H11-H3</f>
        <v>2.8935185185184793E-4</v>
      </c>
      <c r="H11" s="10">
        <v>1.2951388888888887E-2</v>
      </c>
      <c r="I11" s="5">
        <v>7</v>
      </c>
    </row>
    <row r="12" spans="1:9" ht="22.5" customHeight="1" x14ac:dyDescent="0.25">
      <c r="A12" s="8">
        <v>10</v>
      </c>
      <c r="B12" s="5">
        <v>9</v>
      </c>
      <c r="C12" s="5" t="s">
        <v>62</v>
      </c>
      <c r="D12" s="8" t="s">
        <v>78</v>
      </c>
      <c r="E12" s="5" t="s">
        <v>67</v>
      </c>
      <c r="F12" s="9">
        <v>1.077349537037037E-3</v>
      </c>
      <c r="G12" s="10">
        <f>H12-H3</f>
        <v>3.2407407407407038E-4</v>
      </c>
      <c r="H12" s="10">
        <v>1.298611111111111E-2</v>
      </c>
      <c r="I12" s="5">
        <v>6</v>
      </c>
    </row>
    <row r="13" spans="1:9" ht="22.5" customHeight="1" x14ac:dyDescent="0.25">
      <c r="A13" s="8" t="s">
        <v>24</v>
      </c>
      <c r="B13" s="5"/>
      <c r="C13" s="5"/>
      <c r="D13" s="8"/>
      <c r="E13" s="5"/>
      <c r="F13" s="9"/>
      <c r="G13" s="10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9"/>
      <c r="G14" s="10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30"/>
  <sheetViews>
    <sheetView workbookViewId="0">
      <selection activeCell="D1" sqref="D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133</v>
      </c>
      <c r="B1" s="6"/>
      <c r="C1" s="6"/>
      <c r="D1" s="15">
        <v>42549.854166666664</v>
      </c>
      <c r="E1" s="5" t="s">
        <v>134</v>
      </c>
      <c r="F1" s="5" t="s">
        <v>132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9</v>
      </c>
      <c r="C3" s="5" t="s">
        <v>58</v>
      </c>
      <c r="D3" s="8" t="s">
        <v>78</v>
      </c>
      <c r="E3" s="5" t="s">
        <v>67</v>
      </c>
      <c r="F3" s="14" t="s">
        <v>78</v>
      </c>
      <c r="G3" s="14" t="s">
        <v>78</v>
      </c>
      <c r="H3" s="14" t="s">
        <v>184</v>
      </c>
      <c r="I3" s="5">
        <v>25</v>
      </c>
    </row>
    <row r="4" spans="1:9" ht="22.5" customHeight="1" x14ac:dyDescent="0.25">
      <c r="A4" s="8">
        <v>2</v>
      </c>
      <c r="B4" s="5">
        <v>7</v>
      </c>
      <c r="C4" s="5" t="s">
        <v>110</v>
      </c>
      <c r="D4" s="8" t="s">
        <v>78</v>
      </c>
      <c r="E4" s="5" t="s">
        <v>67</v>
      </c>
      <c r="F4" s="14" t="s">
        <v>78</v>
      </c>
      <c r="G4" s="14" t="s">
        <v>78</v>
      </c>
      <c r="H4" s="14" t="s">
        <v>184</v>
      </c>
      <c r="I4" s="5">
        <v>20</v>
      </c>
    </row>
    <row r="5" spans="1:9" ht="22.5" customHeight="1" x14ac:dyDescent="0.25">
      <c r="A5" s="8">
        <v>3</v>
      </c>
      <c r="B5" s="5">
        <v>4</v>
      </c>
      <c r="C5" s="5" t="s">
        <v>57</v>
      </c>
      <c r="D5" s="8" t="s">
        <v>78</v>
      </c>
      <c r="E5" s="5" t="s">
        <v>67</v>
      </c>
      <c r="F5" s="14" t="s">
        <v>78</v>
      </c>
      <c r="G5" s="14" t="s">
        <v>78</v>
      </c>
      <c r="H5" s="14" t="s">
        <v>184</v>
      </c>
      <c r="I5" s="5">
        <v>16</v>
      </c>
    </row>
    <row r="6" spans="1:9" ht="22.5" customHeight="1" x14ac:dyDescent="0.25">
      <c r="A6" s="8">
        <v>4</v>
      </c>
      <c r="B6" s="5">
        <v>10</v>
      </c>
      <c r="C6" s="5" t="s">
        <v>66</v>
      </c>
      <c r="D6" s="8" t="s">
        <v>78</v>
      </c>
      <c r="E6" s="5" t="s">
        <v>67</v>
      </c>
      <c r="F6" s="14" t="s">
        <v>78</v>
      </c>
      <c r="G6" s="14" t="s">
        <v>78</v>
      </c>
      <c r="H6" s="14" t="s">
        <v>184</v>
      </c>
      <c r="I6" s="5">
        <v>13</v>
      </c>
    </row>
    <row r="7" spans="1:9" ht="22.5" customHeight="1" x14ac:dyDescent="0.25">
      <c r="A7" s="8">
        <v>5</v>
      </c>
      <c r="B7" s="5">
        <v>6</v>
      </c>
      <c r="C7" s="5" t="s">
        <v>55</v>
      </c>
      <c r="D7" s="8" t="s">
        <v>78</v>
      </c>
      <c r="E7" s="5" t="s">
        <v>67</v>
      </c>
      <c r="F7" s="14" t="s">
        <v>78</v>
      </c>
      <c r="G7" s="14" t="s">
        <v>78</v>
      </c>
      <c r="H7" s="14" t="s">
        <v>184</v>
      </c>
      <c r="I7" s="5">
        <v>11</v>
      </c>
    </row>
    <row r="8" spans="1:9" ht="22.5" customHeight="1" x14ac:dyDescent="0.25">
      <c r="A8" s="8">
        <v>6</v>
      </c>
      <c r="B8" s="5">
        <v>3</v>
      </c>
      <c r="C8" s="5" t="s">
        <v>61</v>
      </c>
      <c r="D8" s="8" t="s">
        <v>78</v>
      </c>
      <c r="E8" s="5" t="s">
        <v>67</v>
      </c>
      <c r="F8" s="14" t="s">
        <v>78</v>
      </c>
      <c r="G8" s="14" t="s">
        <v>78</v>
      </c>
      <c r="H8" s="14" t="s">
        <v>185</v>
      </c>
      <c r="I8" s="5">
        <v>10</v>
      </c>
    </row>
    <row r="9" spans="1:9" ht="22.5" customHeight="1" x14ac:dyDescent="0.25">
      <c r="A9" s="8">
        <v>7</v>
      </c>
      <c r="B9" s="5">
        <v>2</v>
      </c>
      <c r="C9" s="5" t="s">
        <v>183</v>
      </c>
      <c r="D9" s="8" t="s">
        <v>78</v>
      </c>
      <c r="E9" s="5" t="s">
        <v>67</v>
      </c>
      <c r="F9" s="14" t="s">
        <v>78</v>
      </c>
      <c r="G9" s="14" t="s">
        <v>78</v>
      </c>
      <c r="H9" s="14" t="s">
        <v>185</v>
      </c>
      <c r="I9" s="5">
        <v>9</v>
      </c>
    </row>
    <row r="10" spans="1:9" ht="22.5" customHeight="1" x14ac:dyDescent="0.25">
      <c r="A10" s="8">
        <v>8</v>
      </c>
      <c r="B10" s="5">
        <v>5</v>
      </c>
      <c r="C10" s="5" t="s">
        <v>60</v>
      </c>
      <c r="D10" s="8" t="s">
        <v>78</v>
      </c>
      <c r="E10" s="5" t="s">
        <v>67</v>
      </c>
      <c r="F10" s="14" t="s">
        <v>78</v>
      </c>
      <c r="G10" s="14" t="s">
        <v>78</v>
      </c>
      <c r="H10" s="14" t="s">
        <v>186</v>
      </c>
      <c r="I10" s="5">
        <v>8</v>
      </c>
    </row>
    <row r="11" spans="1:9" ht="22.5" customHeight="1" x14ac:dyDescent="0.25">
      <c r="A11" s="8">
        <v>9</v>
      </c>
      <c r="B11" s="5">
        <v>1</v>
      </c>
      <c r="C11" s="5" t="s">
        <v>62</v>
      </c>
      <c r="D11" s="8" t="s">
        <v>78</v>
      </c>
      <c r="E11" s="5" t="s">
        <v>67</v>
      </c>
      <c r="F11" s="14" t="s">
        <v>78</v>
      </c>
      <c r="G11" s="14" t="s">
        <v>78</v>
      </c>
      <c r="H11" s="14" t="s">
        <v>187</v>
      </c>
      <c r="I11" s="5">
        <v>7</v>
      </c>
    </row>
    <row r="12" spans="1:9" ht="22.5" customHeight="1" x14ac:dyDescent="0.25">
      <c r="A12" s="8">
        <v>10</v>
      </c>
      <c r="B12" s="5">
        <v>8</v>
      </c>
      <c r="C12" s="5" t="s">
        <v>56</v>
      </c>
      <c r="D12" s="8" t="s">
        <v>78</v>
      </c>
      <c r="E12" s="5" t="s">
        <v>67</v>
      </c>
      <c r="F12" s="14" t="s">
        <v>78</v>
      </c>
      <c r="G12" s="14" t="s">
        <v>78</v>
      </c>
      <c r="H12" s="14" t="s">
        <v>71</v>
      </c>
      <c r="I12" s="5">
        <v>6</v>
      </c>
    </row>
    <row r="13" spans="1:9" ht="22.5" customHeight="1" x14ac:dyDescent="0.25">
      <c r="A13" s="8" t="s">
        <v>24</v>
      </c>
      <c r="B13" s="5"/>
      <c r="C13" s="5"/>
      <c r="D13" s="8"/>
      <c r="E13" s="5"/>
      <c r="F13" s="9"/>
      <c r="G13" s="10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9"/>
      <c r="G14" s="10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I30"/>
  <sheetViews>
    <sheetView zoomScale="90" zoomScaleNormal="90" workbookViewId="0">
      <selection activeCell="D1" sqref="D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135</v>
      </c>
      <c r="B1" s="6"/>
      <c r="C1" s="6"/>
      <c r="D1" s="15">
        <v>42563.854166666664</v>
      </c>
      <c r="E1" s="5" t="s">
        <v>136</v>
      </c>
      <c r="F1" s="5" t="s">
        <v>137</v>
      </c>
      <c r="G1" s="5" t="s">
        <v>188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1</v>
      </c>
      <c r="C3" s="5" t="s">
        <v>56</v>
      </c>
      <c r="D3" s="8" t="s">
        <v>78</v>
      </c>
      <c r="E3" s="5" t="s">
        <v>67</v>
      </c>
      <c r="F3" s="9">
        <v>1.2207986111111111E-3</v>
      </c>
      <c r="G3" s="10">
        <v>0</v>
      </c>
      <c r="H3" s="10">
        <v>1.4085648148148151E-2</v>
      </c>
      <c r="I3" s="5">
        <v>25</v>
      </c>
    </row>
    <row r="4" spans="1:9" ht="22.5" customHeight="1" x14ac:dyDescent="0.25">
      <c r="A4" s="8">
        <v>2</v>
      </c>
      <c r="B4" s="5">
        <v>4</v>
      </c>
      <c r="C4" s="5" t="s">
        <v>58</v>
      </c>
      <c r="D4" s="8" t="s">
        <v>78</v>
      </c>
      <c r="E4" s="5" t="s">
        <v>67</v>
      </c>
      <c r="F4" s="9">
        <v>1.2199537037037038E-3</v>
      </c>
      <c r="G4" s="10">
        <f>H4-H3</f>
        <v>2.3148148148143671E-5</v>
      </c>
      <c r="H4" s="10">
        <v>1.4108796296296295E-2</v>
      </c>
      <c r="I4" s="5">
        <v>20</v>
      </c>
    </row>
    <row r="5" spans="1:9" ht="22.5" customHeight="1" x14ac:dyDescent="0.25">
      <c r="A5" s="8">
        <v>3</v>
      </c>
      <c r="B5" s="5">
        <v>2</v>
      </c>
      <c r="C5" s="5" t="s">
        <v>110</v>
      </c>
      <c r="D5" s="8" t="s">
        <v>78</v>
      </c>
      <c r="E5" s="5" t="s">
        <v>67</v>
      </c>
      <c r="F5" s="9">
        <v>1.2196064814814815E-3</v>
      </c>
      <c r="G5" s="10">
        <f>H5-H3</f>
        <v>2.3148148148143671E-5</v>
      </c>
      <c r="H5" s="10">
        <v>1.4108796296296295E-2</v>
      </c>
      <c r="I5" s="5">
        <v>16</v>
      </c>
    </row>
    <row r="6" spans="1:9" ht="22.5" customHeight="1" x14ac:dyDescent="0.25">
      <c r="A6" s="8">
        <v>4</v>
      </c>
      <c r="B6" s="5">
        <v>8</v>
      </c>
      <c r="C6" s="5" t="s">
        <v>62</v>
      </c>
      <c r="D6" s="8" t="s">
        <v>78</v>
      </c>
      <c r="E6" s="5" t="s">
        <v>67</v>
      </c>
      <c r="F6" s="9">
        <v>1.2255324074074074E-3</v>
      </c>
      <c r="G6" s="10">
        <f>H6-H3</f>
        <v>9.2592592592590298E-5</v>
      </c>
      <c r="H6" s="10">
        <v>1.4178240740740741E-2</v>
      </c>
      <c r="I6" s="5">
        <v>13</v>
      </c>
    </row>
    <row r="7" spans="1:9" ht="22.5" customHeight="1" x14ac:dyDescent="0.25">
      <c r="A7" s="8">
        <v>5</v>
      </c>
      <c r="B7" s="5">
        <v>5</v>
      </c>
      <c r="C7" s="5" t="s">
        <v>66</v>
      </c>
      <c r="D7" s="8" t="s">
        <v>78</v>
      </c>
      <c r="E7" s="5" t="s">
        <v>67</v>
      </c>
      <c r="F7" s="9">
        <v>1.225023148148148E-3</v>
      </c>
      <c r="G7" s="10">
        <f>H7-H3</f>
        <v>9.2592592592590298E-5</v>
      </c>
      <c r="H7" s="10">
        <v>1.4178240740740741E-2</v>
      </c>
      <c r="I7" s="5">
        <v>11</v>
      </c>
    </row>
    <row r="8" spans="1:9" ht="22.5" customHeight="1" x14ac:dyDescent="0.25">
      <c r="A8" s="8">
        <v>6</v>
      </c>
      <c r="B8" s="5">
        <v>7</v>
      </c>
      <c r="C8" s="5" t="s">
        <v>57</v>
      </c>
      <c r="D8" s="8" t="s">
        <v>78</v>
      </c>
      <c r="E8" s="5" t="s">
        <v>67</v>
      </c>
      <c r="F8" s="9">
        <v>1.7545254629629629E-3</v>
      </c>
      <c r="G8" s="10">
        <f>H8-H3</f>
        <v>1.1574074074073744E-4</v>
      </c>
      <c r="H8" s="10">
        <v>1.4201388888888888E-2</v>
      </c>
      <c r="I8" s="5">
        <v>10</v>
      </c>
    </row>
    <row r="9" spans="1:9" ht="22.5" customHeight="1" x14ac:dyDescent="0.25">
      <c r="A9" s="8">
        <v>7</v>
      </c>
      <c r="B9" s="5">
        <v>3</v>
      </c>
      <c r="C9" s="5" t="s">
        <v>55</v>
      </c>
      <c r="D9" s="8" t="s">
        <v>78</v>
      </c>
      <c r="E9" s="5" t="s">
        <v>67</v>
      </c>
      <c r="F9" s="9" t="s">
        <v>189</v>
      </c>
      <c r="G9" s="10">
        <f>H9-H3</f>
        <v>1.3888888888888631E-4</v>
      </c>
      <c r="H9" s="10">
        <v>1.4224537037037037E-2</v>
      </c>
      <c r="I9" s="5">
        <v>9</v>
      </c>
    </row>
    <row r="10" spans="1:9" ht="22.5" customHeight="1" x14ac:dyDescent="0.25">
      <c r="A10" s="8">
        <v>8</v>
      </c>
      <c r="B10" s="5">
        <v>6</v>
      </c>
      <c r="C10" s="5" t="s">
        <v>183</v>
      </c>
      <c r="D10" s="8" t="s">
        <v>78</v>
      </c>
      <c r="E10" s="5" t="s">
        <v>67</v>
      </c>
      <c r="F10" s="9">
        <v>1.2335995370370372E-3</v>
      </c>
      <c r="G10" s="10">
        <f>H10-H3</f>
        <v>1.5046296296295988E-4</v>
      </c>
      <c r="H10" s="10">
        <v>1.4236111111111111E-2</v>
      </c>
      <c r="I10" s="5">
        <v>8</v>
      </c>
    </row>
    <row r="11" spans="1:9" ht="22.5" customHeight="1" x14ac:dyDescent="0.25">
      <c r="A11" s="8">
        <v>9</v>
      </c>
      <c r="B11" s="5">
        <v>9</v>
      </c>
      <c r="C11" s="5" t="s">
        <v>61</v>
      </c>
      <c r="D11" s="8" t="s">
        <v>78</v>
      </c>
      <c r="E11" s="5" t="s">
        <v>67</v>
      </c>
      <c r="F11" s="9">
        <v>1.2482870370370371E-3</v>
      </c>
      <c r="G11" s="10">
        <f>H11-H3</f>
        <v>3.819444444444417E-4</v>
      </c>
      <c r="H11" s="10">
        <v>1.4467592592592593E-2</v>
      </c>
      <c r="I11" s="5">
        <v>7</v>
      </c>
    </row>
    <row r="12" spans="1:9" ht="22.5" customHeight="1" x14ac:dyDescent="0.25">
      <c r="A12" s="8" t="s">
        <v>24</v>
      </c>
      <c r="B12" s="5"/>
      <c r="C12" s="5"/>
      <c r="D12" s="8"/>
      <c r="E12" s="5"/>
      <c r="F12" s="9"/>
      <c r="G12" s="10"/>
      <c r="H12" s="10"/>
      <c r="I12" s="5"/>
    </row>
    <row r="13" spans="1:9" ht="22.5" customHeight="1" x14ac:dyDescent="0.25">
      <c r="A13" s="8"/>
      <c r="B13" s="5"/>
      <c r="C13" s="5"/>
      <c r="D13" s="8"/>
      <c r="E13" s="5"/>
      <c r="F13" s="9"/>
      <c r="G13" s="10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9"/>
      <c r="G14" s="10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1:I30"/>
  <sheetViews>
    <sheetView workbookViewId="0">
      <selection activeCell="D1" sqref="D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138</v>
      </c>
      <c r="B1" s="6"/>
      <c r="C1" s="6"/>
      <c r="D1" s="15">
        <v>42563.854166666664</v>
      </c>
      <c r="E1" s="5" t="s">
        <v>139</v>
      </c>
      <c r="F1" s="5" t="s">
        <v>137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9</v>
      </c>
      <c r="C3" s="5" t="s">
        <v>56</v>
      </c>
      <c r="D3" s="8" t="s">
        <v>78</v>
      </c>
      <c r="E3" s="5" t="s">
        <v>67</v>
      </c>
      <c r="F3" s="14" t="s">
        <v>78</v>
      </c>
      <c r="G3" s="14" t="s">
        <v>78</v>
      </c>
      <c r="H3" s="14" t="s">
        <v>190</v>
      </c>
      <c r="I3" s="5">
        <v>25</v>
      </c>
    </row>
    <row r="4" spans="1:9" ht="22.5" customHeight="1" x14ac:dyDescent="0.25">
      <c r="A4" s="8">
        <v>2</v>
      </c>
      <c r="B4" s="5">
        <v>7</v>
      </c>
      <c r="C4" s="5" t="s">
        <v>110</v>
      </c>
      <c r="D4" s="8" t="s">
        <v>78</v>
      </c>
      <c r="E4" s="5" t="s">
        <v>67</v>
      </c>
      <c r="F4" s="14" t="s">
        <v>78</v>
      </c>
      <c r="G4" s="14" t="s">
        <v>78</v>
      </c>
      <c r="H4" s="14" t="s">
        <v>190</v>
      </c>
      <c r="I4" s="5">
        <v>20</v>
      </c>
    </row>
    <row r="5" spans="1:9" ht="22.5" customHeight="1" x14ac:dyDescent="0.25">
      <c r="A5" s="8">
        <v>3</v>
      </c>
      <c r="B5" s="5">
        <v>4</v>
      </c>
      <c r="C5" s="5" t="s">
        <v>57</v>
      </c>
      <c r="D5" s="8" t="s">
        <v>78</v>
      </c>
      <c r="E5" s="5" t="s">
        <v>67</v>
      </c>
      <c r="F5" s="14" t="s">
        <v>78</v>
      </c>
      <c r="G5" s="14" t="s">
        <v>78</v>
      </c>
      <c r="H5" s="14" t="s">
        <v>190</v>
      </c>
      <c r="I5" s="5">
        <v>16</v>
      </c>
    </row>
    <row r="6" spans="1:9" ht="22.5" customHeight="1" x14ac:dyDescent="0.25">
      <c r="A6" s="8">
        <v>4</v>
      </c>
      <c r="B6" s="5">
        <v>8</v>
      </c>
      <c r="C6" s="5" t="s">
        <v>58</v>
      </c>
      <c r="D6" s="8" t="s">
        <v>78</v>
      </c>
      <c r="E6" s="5" t="s">
        <v>67</v>
      </c>
      <c r="F6" s="14" t="s">
        <v>78</v>
      </c>
      <c r="G6" s="14" t="s">
        <v>78</v>
      </c>
      <c r="H6" s="14" t="s">
        <v>190</v>
      </c>
      <c r="I6" s="5">
        <v>13</v>
      </c>
    </row>
    <row r="7" spans="1:9" ht="22.5" customHeight="1" x14ac:dyDescent="0.25">
      <c r="A7" s="8">
        <v>5</v>
      </c>
      <c r="B7" s="5">
        <v>5</v>
      </c>
      <c r="C7" s="5" t="s">
        <v>66</v>
      </c>
      <c r="D7" s="8" t="s">
        <v>78</v>
      </c>
      <c r="E7" s="5" t="s">
        <v>67</v>
      </c>
      <c r="F7" s="14" t="s">
        <v>78</v>
      </c>
      <c r="G7" s="14" t="s">
        <v>78</v>
      </c>
      <c r="H7" s="14" t="s">
        <v>190</v>
      </c>
      <c r="I7" s="5">
        <v>11</v>
      </c>
    </row>
    <row r="8" spans="1:9" ht="22.5" customHeight="1" x14ac:dyDescent="0.25">
      <c r="A8" s="8">
        <v>6</v>
      </c>
      <c r="B8" s="5">
        <v>6</v>
      </c>
      <c r="C8" s="5" t="s">
        <v>62</v>
      </c>
      <c r="D8" s="8" t="s">
        <v>78</v>
      </c>
      <c r="E8" s="5" t="s">
        <v>67</v>
      </c>
      <c r="F8" s="14" t="s">
        <v>78</v>
      </c>
      <c r="G8" s="14" t="s">
        <v>78</v>
      </c>
      <c r="H8" s="14" t="s">
        <v>193</v>
      </c>
      <c r="I8" s="5">
        <v>10</v>
      </c>
    </row>
    <row r="9" spans="1:9" ht="22.5" customHeight="1" x14ac:dyDescent="0.25">
      <c r="A9" s="8">
        <v>7</v>
      </c>
      <c r="B9" s="5">
        <v>3</v>
      </c>
      <c r="C9" s="5" t="s">
        <v>55</v>
      </c>
      <c r="D9" s="8" t="s">
        <v>78</v>
      </c>
      <c r="E9" s="5" t="s">
        <v>67</v>
      </c>
      <c r="F9" s="14" t="s">
        <v>78</v>
      </c>
      <c r="G9" s="14" t="s">
        <v>78</v>
      </c>
      <c r="H9" s="14" t="s">
        <v>192</v>
      </c>
      <c r="I9" s="5">
        <v>9</v>
      </c>
    </row>
    <row r="10" spans="1:9" ht="22.5" customHeight="1" x14ac:dyDescent="0.25">
      <c r="A10" s="8">
        <v>8</v>
      </c>
      <c r="B10" s="5">
        <v>2</v>
      </c>
      <c r="C10" s="5" t="s">
        <v>183</v>
      </c>
      <c r="D10" s="8" t="s">
        <v>78</v>
      </c>
      <c r="E10" s="5" t="s">
        <v>67</v>
      </c>
      <c r="F10" s="14" t="s">
        <v>78</v>
      </c>
      <c r="G10" s="14" t="s">
        <v>78</v>
      </c>
      <c r="H10" s="14" t="s">
        <v>191</v>
      </c>
      <c r="I10" s="5">
        <v>8</v>
      </c>
    </row>
    <row r="11" spans="1:9" ht="22.5" customHeight="1" x14ac:dyDescent="0.25">
      <c r="A11" s="8">
        <v>9</v>
      </c>
      <c r="B11" s="5">
        <v>1</v>
      </c>
      <c r="C11" s="5" t="s">
        <v>61</v>
      </c>
      <c r="D11" s="8" t="s">
        <v>78</v>
      </c>
      <c r="E11" s="5" t="s">
        <v>67</v>
      </c>
      <c r="F11" s="14" t="s">
        <v>78</v>
      </c>
      <c r="G11" s="14" t="s">
        <v>78</v>
      </c>
      <c r="H11" s="14" t="s">
        <v>71</v>
      </c>
      <c r="I11" s="5">
        <v>7</v>
      </c>
    </row>
    <row r="12" spans="1:9" ht="22.5" customHeight="1" x14ac:dyDescent="0.25">
      <c r="A12" s="8" t="s">
        <v>24</v>
      </c>
      <c r="B12" s="5"/>
      <c r="C12" s="5"/>
      <c r="D12" s="8"/>
      <c r="E12" s="5"/>
      <c r="F12" s="9"/>
      <c r="G12" s="10"/>
      <c r="H12" s="10"/>
      <c r="I12" s="5"/>
    </row>
    <row r="13" spans="1:9" ht="22.5" customHeight="1" x14ac:dyDescent="0.25">
      <c r="A13" s="8"/>
      <c r="B13" s="5"/>
      <c r="C13" s="5"/>
      <c r="D13" s="8"/>
      <c r="E13" s="5"/>
      <c r="F13" s="9"/>
      <c r="G13" s="10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9"/>
      <c r="G14" s="10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I30"/>
  <sheetViews>
    <sheetView workbookViewId="0">
      <selection activeCell="D1" sqref="D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140</v>
      </c>
      <c r="B1" s="6"/>
      <c r="C1" s="6"/>
      <c r="D1" s="15">
        <v>42577.854166666664</v>
      </c>
      <c r="E1" s="5" t="s">
        <v>141</v>
      </c>
      <c r="F1" s="5" t="s">
        <v>142</v>
      </c>
      <c r="G1" s="5" t="s">
        <v>168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3</v>
      </c>
      <c r="C3" s="5" t="s">
        <v>58</v>
      </c>
      <c r="D3" s="8" t="s">
        <v>78</v>
      </c>
      <c r="E3" s="5" t="s">
        <v>67</v>
      </c>
      <c r="F3" s="9">
        <v>9.3015046296296292E-4</v>
      </c>
      <c r="G3" s="10">
        <v>0</v>
      </c>
      <c r="H3" s="10">
        <v>1.0520833333333333E-2</v>
      </c>
      <c r="I3" s="5">
        <v>25</v>
      </c>
    </row>
    <row r="4" spans="1:9" ht="22.5" customHeight="1" x14ac:dyDescent="0.25">
      <c r="A4" s="8">
        <v>2</v>
      </c>
      <c r="B4" s="5">
        <v>1</v>
      </c>
      <c r="C4" s="5" t="s">
        <v>66</v>
      </c>
      <c r="D4" s="8" t="s">
        <v>78</v>
      </c>
      <c r="E4" s="5" t="s">
        <v>67</v>
      </c>
      <c r="F4" s="9">
        <v>9.3050925925925929E-4</v>
      </c>
      <c r="G4" s="10">
        <f>H4-H3</f>
        <v>0</v>
      </c>
      <c r="H4" s="10">
        <v>1.0520833333333333E-2</v>
      </c>
      <c r="I4" s="5">
        <v>20</v>
      </c>
    </row>
    <row r="5" spans="1:9" ht="22.5" customHeight="1" x14ac:dyDescent="0.25">
      <c r="A5" s="8">
        <v>3</v>
      </c>
      <c r="B5" s="5">
        <v>4</v>
      </c>
      <c r="C5" s="5" t="s">
        <v>55</v>
      </c>
      <c r="D5" s="8" t="s">
        <v>78</v>
      </c>
      <c r="E5" s="5" t="s">
        <v>67</v>
      </c>
      <c r="F5" s="9">
        <v>9.3407407407407404E-4</v>
      </c>
      <c r="G5" s="10">
        <f>H5-H3</f>
        <v>1.1574074074074091E-4</v>
      </c>
      <c r="H5" s="10">
        <v>1.0636574074074074E-2</v>
      </c>
      <c r="I5" s="5">
        <v>16</v>
      </c>
    </row>
    <row r="6" spans="1:9" ht="22.5" customHeight="1" x14ac:dyDescent="0.25">
      <c r="A6" s="8">
        <v>4</v>
      </c>
      <c r="B6" s="5">
        <v>5</v>
      </c>
      <c r="C6" s="5" t="s">
        <v>183</v>
      </c>
      <c r="D6" s="8" t="s">
        <v>78</v>
      </c>
      <c r="E6" s="5" t="s">
        <v>67</v>
      </c>
      <c r="F6" s="9">
        <v>9.3901620370370363E-4</v>
      </c>
      <c r="G6" s="10">
        <f>H6-H3</f>
        <v>1.3888888888888805E-4</v>
      </c>
      <c r="H6" s="10">
        <v>1.0659722222222221E-2</v>
      </c>
      <c r="I6" s="5">
        <v>13</v>
      </c>
    </row>
    <row r="7" spans="1:9" ht="22.5" customHeight="1" x14ac:dyDescent="0.25">
      <c r="A7" s="8">
        <v>5</v>
      </c>
      <c r="B7" s="5">
        <v>6</v>
      </c>
      <c r="C7" s="5" t="s">
        <v>60</v>
      </c>
      <c r="D7" s="8" t="s">
        <v>78</v>
      </c>
      <c r="E7" s="5" t="s">
        <v>67</v>
      </c>
      <c r="F7" s="9">
        <v>1.0006712962962964E-3</v>
      </c>
      <c r="G7" s="10">
        <f>H7-H3</f>
        <v>5.7870370370370454E-4</v>
      </c>
      <c r="H7" s="10">
        <v>1.1099537037037038E-2</v>
      </c>
      <c r="I7" s="5">
        <v>11</v>
      </c>
    </row>
    <row r="8" spans="1:9" ht="22.5" customHeight="1" x14ac:dyDescent="0.25">
      <c r="A8" s="8">
        <v>6</v>
      </c>
      <c r="B8" s="5">
        <v>2</v>
      </c>
      <c r="C8" s="5" t="s">
        <v>56</v>
      </c>
      <c r="D8" s="8" t="s">
        <v>78</v>
      </c>
      <c r="E8" s="5" t="s">
        <v>67</v>
      </c>
      <c r="F8" s="9">
        <v>9.3218749999999996E-4</v>
      </c>
      <c r="G8" s="10" t="s">
        <v>71</v>
      </c>
      <c r="H8" s="10" t="s">
        <v>71</v>
      </c>
      <c r="I8" s="5">
        <v>10</v>
      </c>
    </row>
    <row r="9" spans="1:9" ht="22.5" customHeight="1" x14ac:dyDescent="0.25">
      <c r="A9" s="8" t="s">
        <v>24</v>
      </c>
      <c r="B9" s="5"/>
      <c r="C9" s="5"/>
      <c r="D9" s="8"/>
      <c r="E9" s="5"/>
      <c r="F9" s="9"/>
      <c r="G9" s="10"/>
      <c r="H9" s="10"/>
      <c r="I9" s="5"/>
    </row>
    <row r="10" spans="1:9" ht="22.5" customHeight="1" x14ac:dyDescent="0.25">
      <c r="A10" s="8"/>
      <c r="B10" s="5"/>
      <c r="C10" s="5"/>
      <c r="D10" s="8"/>
      <c r="E10" s="5"/>
      <c r="F10" s="9"/>
      <c r="G10" s="10"/>
      <c r="H10" s="10"/>
      <c r="I10" s="5"/>
    </row>
    <row r="11" spans="1:9" ht="22.5" customHeight="1" x14ac:dyDescent="0.25">
      <c r="A11" s="8"/>
      <c r="B11" s="5"/>
      <c r="C11" s="5"/>
      <c r="D11" s="8"/>
      <c r="E11" s="5"/>
      <c r="F11" s="9"/>
      <c r="G11" s="10"/>
      <c r="H11" s="10"/>
      <c r="I11" s="5"/>
    </row>
    <row r="12" spans="1:9" ht="22.5" customHeight="1" x14ac:dyDescent="0.25">
      <c r="A12" s="8"/>
      <c r="B12" s="5"/>
      <c r="C12" s="5"/>
      <c r="D12" s="8"/>
      <c r="E12" s="5"/>
      <c r="F12" s="9"/>
      <c r="G12" s="10"/>
      <c r="H12" s="10"/>
      <c r="I12" s="5"/>
    </row>
    <row r="13" spans="1:9" ht="22.5" customHeight="1" x14ac:dyDescent="0.25">
      <c r="A13" s="8"/>
      <c r="B13" s="5"/>
      <c r="C13" s="5"/>
      <c r="D13" s="8"/>
      <c r="E13" s="5"/>
      <c r="F13" s="9"/>
      <c r="G13" s="10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9"/>
      <c r="G14" s="10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I30"/>
  <sheetViews>
    <sheetView workbookViewId="0">
      <selection activeCell="D1" sqref="D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143</v>
      </c>
      <c r="B1" s="6"/>
      <c r="C1" s="6"/>
      <c r="D1" s="15">
        <v>42577.854166666664</v>
      </c>
      <c r="E1" s="5" t="s">
        <v>144</v>
      </c>
      <c r="F1" s="5" t="s">
        <v>142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1</v>
      </c>
      <c r="C3" s="5" t="s">
        <v>56</v>
      </c>
      <c r="D3" s="8" t="s">
        <v>78</v>
      </c>
      <c r="E3" s="5" t="s">
        <v>67</v>
      </c>
      <c r="F3" s="14" t="s">
        <v>78</v>
      </c>
      <c r="G3" s="14" t="s">
        <v>78</v>
      </c>
      <c r="H3" s="14" t="s">
        <v>194</v>
      </c>
      <c r="I3" s="5">
        <v>25</v>
      </c>
    </row>
    <row r="4" spans="1:9" ht="22.5" customHeight="1" x14ac:dyDescent="0.25">
      <c r="A4" s="8">
        <v>2</v>
      </c>
      <c r="B4" s="5">
        <v>3</v>
      </c>
      <c r="C4" s="5" t="s">
        <v>183</v>
      </c>
      <c r="D4" s="8" t="s">
        <v>78</v>
      </c>
      <c r="E4" s="5" t="s">
        <v>67</v>
      </c>
      <c r="F4" s="14" t="s">
        <v>78</v>
      </c>
      <c r="G4" s="14" t="s">
        <v>78</v>
      </c>
      <c r="H4" s="14" t="s">
        <v>194</v>
      </c>
      <c r="I4" s="5">
        <v>20</v>
      </c>
    </row>
    <row r="5" spans="1:9" ht="22.5" customHeight="1" x14ac:dyDescent="0.25">
      <c r="A5" s="8">
        <v>3</v>
      </c>
      <c r="B5" s="5">
        <v>4</v>
      </c>
      <c r="C5" s="5" t="s">
        <v>55</v>
      </c>
      <c r="D5" s="8" t="s">
        <v>78</v>
      </c>
      <c r="E5" s="5" t="s">
        <v>67</v>
      </c>
      <c r="F5" s="14" t="s">
        <v>78</v>
      </c>
      <c r="G5" s="14" t="s">
        <v>78</v>
      </c>
      <c r="H5" s="14" t="s">
        <v>194</v>
      </c>
      <c r="I5" s="5">
        <v>16</v>
      </c>
    </row>
    <row r="6" spans="1:9" ht="22.5" customHeight="1" x14ac:dyDescent="0.25">
      <c r="A6" s="8">
        <v>4</v>
      </c>
      <c r="B6" s="5">
        <v>2</v>
      </c>
      <c r="C6" s="5" t="s">
        <v>60</v>
      </c>
      <c r="D6" s="8" t="s">
        <v>78</v>
      </c>
      <c r="E6" s="5" t="s">
        <v>67</v>
      </c>
      <c r="F6" s="14" t="s">
        <v>78</v>
      </c>
      <c r="G6" s="14" t="s">
        <v>78</v>
      </c>
      <c r="H6" s="14" t="s">
        <v>104</v>
      </c>
      <c r="I6" s="5">
        <v>13</v>
      </c>
    </row>
    <row r="7" spans="1:9" ht="22.5" customHeight="1" x14ac:dyDescent="0.25">
      <c r="A7" s="8">
        <v>5</v>
      </c>
      <c r="B7" s="5">
        <v>5</v>
      </c>
      <c r="C7" s="5" t="s">
        <v>66</v>
      </c>
      <c r="D7" s="8" t="s">
        <v>78</v>
      </c>
      <c r="E7" s="5" t="s">
        <v>67</v>
      </c>
      <c r="F7" s="14" t="s">
        <v>78</v>
      </c>
      <c r="G7" s="14" t="s">
        <v>78</v>
      </c>
      <c r="H7" s="14" t="s">
        <v>71</v>
      </c>
      <c r="I7" s="5">
        <v>11</v>
      </c>
    </row>
    <row r="8" spans="1:9" ht="22.5" customHeight="1" x14ac:dyDescent="0.25">
      <c r="A8" s="8">
        <v>6</v>
      </c>
      <c r="B8" s="5">
        <v>6</v>
      </c>
      <c r="C8" s="5" t="s">
        <v>58</v>
      </c>
      <c r="D8" s="8" t="s">
        <v>78</v>
      </c>
      <c r="E8" s="5" t="s">
        <v>67</v>
      </c>
      <c r="F8" s="14" t="s">
        <v>78</v>
      </c>
      <c r="G8" s="14" t="s">
        <v>78</v>
      </c>
      <c r="H8" s="14" t="s">
        <v>71</v>
      </c>
      <c r="I8" s="5">
        <v>10</v>
      </c>
    </row>
    <row r="9" spans="1:9" ht="22.5" customHeight="1" x14ac:dyDescent="0.25">
      <c r="A9" s="8" t="s">
        <v>24</v>
      </c>
      <c r="B9" s="5"/>
      <c r="C9" s="5"/>
      <c r="D9" s="8"/>
      <c r="E9" s="5"/>
      <c r="F9" s="9"/>
      <c r="G9" s="10"/>
      <c r="H9" s="10"/>
      <c r="I9" s="5"/>
    </row>
    <row r="10" spans="1:9" ht="22.5" customHeight="1" x14ac:dyDescent="0.25">
      <c r="A10" s="8"/>
      <c r="B10" s="5"/>
      <c r="C10" s="5"/>
      <c r="D10" s="8"/>
      <c r="E10" s="5"/>
      <c r="F10" s="9"/>
      <c r="G10" s="10"/>
      <c r="H10" s="10"/>
      <c r="I10" s="5"/>
    </row>
    <row r="11" spans="1:9" ht="22.5" customHeight="1" x14ac:dyDescent="0.25">
      <c r="A11" s="8"/>
      <c r="B11" s="5"/>
      <c r="C11" s="5"/>
      <c r="D11" s="8"/>
      <c r="E11" s="5"/>
      <c r="F11" s="9"/>
      <c r="G11" s="10"/>
      <c r="H11" s="10"/>
      <c r="I11" s="5"/>
    </row>
    <row r="12" spans="1:9" ht="22.5" customHeight="1" x14ac:dyDescent="0.25">
      <c r="A12" s="8"/>
      <c r="B12" s="5"/>
      <c r="C12" s="5"/>
      <c r="D12" s="8"/>
      <c r="E12" s="5"/>
      <c r="F12" s="9"/>
      <c r="G12" s="10"/>
      <c r="H12" s="10"/>
      <c r="I12" s="5"/>
    </row>
    <row r="13" spans="1:9" ht="22.5" customHeight="1" x14ac:dyDescent="0.25">
      <c r="A13" s="8"/>
      <c r="B13" s="5"/>
      <c r="C13" s="5"/>
      <c r="D13" s="8"/>
      <c r="E13" s="5"/>
      <c r="F13" s="9"/>
      <c r="G13" s="10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9"/>
      <c r="G14" s="10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I30"/>
  <sheetViews>
    <sheetView workbookViewId="0">
      <selection activeCell="D1" sqref="D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145</v>
      </c>
      <c r="B1" s="6"/>
      <c r="C1" s="6"/>
      <c r="D1" s="15">
        <v>42591.854166666664</v>
      </c>
      <c r="E1" s="5" t="s">
        <v>146</v>
      </c>
      <c r="F1" s="5" t="s">
        <v>147</v>
      </c>
      <c r="G1" s="5" t="s">
        <v>182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2</v>
      </c>
      <c r="C3" s="5" t="s">
        <v>110</v>
      </c>
      <c r="D3" s="8" t="s">
        <v>78</v>
      </c>
      <c r="E3" s="5" t="s">
        <v>67</v>
      </c>
      <c r="F3" s="9">
        <v>8.7436342592592589E-4</v>
      </c>
      <c r="G3" s="10">
        <v>0</v>
      </c>
      <c r="H3" s="10">
        <v>1.005787037037037E-2</v>
      </c>
      <c r="I3" s="5">
        <v>25</v>
      </c>
    </row>
    <row r="4" spans="1:9" ht="22.5" customHeight="1" x14ac:dyDescent="0.25">
      <c r="A4" s="8">
        <v>2</v>
      </c>
      <c r="B4" s="5">
        <v>1</v>
      </c>
      <c r="C4" s="5" t="s">
        <v>57</v>
      </c>
      <c r="D4" s="8" t="s">
        <v>78</v>
      </c>
      <c r="E4" s="5" t="s">
        <v>67</v>
      </c>
      <c r="F4" s="9">
        <v>8.7508101851851853E-4</v>
      </c>
      <c r="G4" s="10">
        <f>H4-H3</f>
        <v>0</v>
      </c>
      <c r="H4" s="10">
        <v>1.005787037037037E-2</v>
      </c>
      <c r="I4" s="5">
        <v>20</v>
      </c>
    </row>
    <row r="5" spans="1:9" ht="22.5" customHeight="1" x14ac:dyDescent="0.25">
      <c r="A5" s="8">
        <v>3</v>
      </c>
      <c r="B5" s="5">
        <v>3</v>
      </c>
      <c r="C5" s="5" t="s">
        <v>58</v>
      </c>
      <c r="D5" s="8" t="s">
        <v>78</v>
      </c>
      <c r="E5" s="5" t="s">
        <v>67</v>
      </c>
      <c r="F5" s="9">
        <v>8.7369212962962954E-4</v>
      </c>
      <c r="G5" s="10">
        <f>H5-H3</f>
        <v>4.6296296296297751E-5</v>
      </c>
      <c r="H5" s="10">
        <v>1.0104166666666668E-2</v>
      </c>
      <c r="I5" s="5">
        <v>16</v>
      </c>
    </row>
    <row r="6" spans="1:9" ht="22.5" customHeight="1" x14ac:dyDescent="0.25">
      <c r="A6" s="8">
        <v>4</v>
      </c>
      <c r="B6" s="5">
        <v>6</v>
      </c>
      <c r="C6" s="5" t="s">
        <v>66</v>
      </c>
      <c r="D6" s="8" t="s">
        <v>78</v>
      </c>
      <c r="E6" s="5" t="s">
        <v>67</v>
      </c>
      <c r="F6" s="9">
        <v>8.6854166666666666E-4</v>
      </c>
      <c r="G6" s="10">
        <f>H6-H3</f>
        <v>5.7870370370371321E-5</v>
      </c>
      <c r="H6" s="10">
        <v>1.0115740740740741E-2</v>
      </c>
      <c r="I6" s="5">
        <v>13</v>
      </c>
    </row>
    <row r="7" spans="1:9" ht="22.5" customHeight="1" x14ac:dyDescent="0.25">
      <c r="A7" s="8">
        <v>5</v>
      </c>
      <c r="B7" s="5">
        <v>4</v>
      </c>
      <c r="C7" s="5" t="s">
        <v>56</v>
      </c>
      <c r="D7" s="8" t="s">
        <v>78</v>
      </c>
      <c r="E7" s="5" t="s">
        <v>67</v>
      </c>
      <c r="F7" s="9" t="s">
        <v>201</v>
      </c>
      <c r="G7" s="10">
        <f>H7-H3</f>
        <v>1.5046296296296335E-4</v>
      </c>
      <c r="H7" s="10">
        <v>1.0208333333333333E-2</v>
      </c>
      <c r="I7" s="5">
        <v>11</v>
      </c>
    </row>
    <row r="8" spans="1:9" ht="22.5" customHeight="1" x14ac:dyDescent="0.25">
      <c r="A8" s="8">
        <v>6</v>
      </c>
      <c r="B8" s="5">
        <v>8</v>
      </c>
      <c r="C8" s="5" t="s">
        <v>183</v>
      </c>
      <c r="D8" s="8" t="s">
        <v>78</v>
      </c>
      <c r="E8" s="5" t="s">
        <v>67</v>
      </c>
      <c r="F8" s="9">
        <v>8.7431712962962973E-4</v>
      </c>
      <c r="G8" s="10">
        <f>H8-H3</f>
        <v>1.9675925925925937E-4</v>
      </c>
      <c r="H8" s="10">
        <v>1.0254629629629629E-2</v>
      </c>
      <c r="I8" s="5">
        <v>10</v>
      </c>
    </row>
    <row r="9" spans="1:9" ht="22.5" customHeight="1" x14ac:dyDescent="0.25">
      <c r="A9" s="8">
        <v>7</v>
      </c>
      <c r="B9" s="5">
        <v>5</v>
      </c>
      <c r="C9" s="5" t="s">
        <v>55</v>
      </c>
      <c r="D9" s="8" t="s">
        <v>78</v>
      </c>
      <c r="E9" s="5" t="s">
        <v>67</v>
      </c>
      <c r="F9" s="9">
        <v>1.2134837962962963E-3</v>
      </c>
      <c r="G9" s="10">
        <f>H9-H3</f>
        <v>2.8935185185185314E-4</v>
      </c>
      <c r="H9" s="10">
        <v>1.0347222222222223E-2</v>
      </c>
      <c r="I9" s="5">
        <v>9</v>
      </c>
    </row>
    <row r="10" spans="1:9" ht="22.5" customHeight="1" x14ac:dyDescent="0.25">
      <c r="A10" s="8">
        <v>8</v>
      </c>
      <c r="B10" s="5">
        <v>7</v>
      </c>
      <c r="C10" s="5" t="s">
        <v>197</v>
      </c>
      <c r="D10" s="8" t="s">
        <v>78</v>
      </c>
      <c r="E10" s="5" t="s">
        <v>67</v>
      </c>
      <c r="F10" s="9">
        <v>8.6969907407407406E-4</v>
      </c>
      <c r="G10" s="10">
        <f>H10-H3</f>
        <v>4.745370370370372E-4</v>
      </c>
      <c r="H10" s="10">
        <v>1.0532407407407407E-2</v>
      </c>
      <c r="I10" s="5">
        <v>8</v>
      </c>
    </row>
    <row r="11" spans="1:9" ht="22.5" customHeight="1" x14ac:dyDescent="0.25">
      <c r="A11" s="8" t="s">
        <v>24</v>
      </c>
      <c r="B11" s="5"/>
      <c r="C11" s="5"/>
      <c r="D11" s="8"/>
      <c r="E11" s="5"/>
      <c r="F11" s="9"/>
      <c r="G11" s="10"/>
      <c r="H11" s="10"/>
      <c r="I11" s="5"/>
    </row>
    <row r="12" spans="1:9" ht="22.5" customHeight="1" x14ac:dyDescent="0.25">
      <c r="A12" s="8"/>
      <c r="B12" s="5"/>
      <c r="C12" s="5"/>
      <c r="D12" s="8"/>
      <c r="E12" s="5"/>
      <c r="F12" s="9"/>
      <c r="G12" s="10"/>
      <c r="H12" s="10"/>
      <c r="I12" s="5"/>
    </row>
    <row r="13" spans="1:9" ht="22.5" customHeight="1" x14ac:dyDescent="0.25">
      <c r="A13" s="8"/>
      <c r="B13" s="5"/>
      <c r="C13" s="5"/>
      <c r="D13" s="8"/>
      <c r="E13" s="5"/>
      <c r="F13" s="9"/>
      <c r="G13" s="10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9"/>
      <c r="G14" s="10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I30"/>
  <sheetViews>
    <sheetView workbookViewId="0">
      <selection activeCell="D1" sqref="D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196</v>
      </c>
      <c r="B1" s="6"/>
      <c r="C1" s="6"/>
      <c r="D1" s="15">
        <v>42591.854166666664</v>
      </c>
      <c r="E1" s="5" t="s">
        <v>195</v>
      </c>
      <c r="F1" s="5" t="s">
        <v>147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>
        <v>1</v>
      </c>
      <c r="C3" s="5" t="s">
        <v>197</v>
      </c>
      <c r="D3" s="8" t="s">
        <v>78</v>
      </c>
      <c r="E3" s="5" t="s">
        <v>67</v>
      </c>
      <c r="F3" s="14" t="s">
        <v>78</v>
      </c>
      <c r="G3" s="14" t="s">
        <v>78</v>
      </c>
      <c r="H3" s="14" t="s">
        <v>198</v>
      </c>
      <c r="I3" s="5">
        <v>25</v>
      </c>
    </row>
    <row r="4" spans="1:9" ht="22.5" customHeight="1" x14ac:dyDescent="0.25">
      <c r="A4" s="8">
        <v>2</v>
      </c>
      <c r="B4" s="5">
        <v>8</v>
      </c>
      <c r="C4" s="5" t="s">
        <v>110</v>
      </c>
      <c r="D4" s="8" t="s">
        <v>78</v>
      </c>
      <c r="E4" s="5" t="s">
        <v>67</v>
      </c>
      <c r="F4" s="14" t="s">
        <v>78</v>
      </c>
      <c r="G4" s="14" t="s">
        <v>78</v>
      </c>
      <c r="H4" s="14" t="s">
        <v>198</v>
      </c>
      <c r="I4" s="5">
        <v>20</v>
      </c>
    </row>
    <row r="5" spans="1:9" ht="22.5" customHeight="1" x14ac:dyDescent="0.25">
      <c r="A5" s="8">
        <v>3</v>
      </c>
      <c r="B5" s="5">
        <v>6</v>
      </c>
      <c r="C5" s="5" t="s">
        <v>58</v>
      </c>
      <c r="D5" s="8" t="s">
        <v>78</v>
      </c>
      <c r="E5" s="5" t="s">
        <v>67</v>
      </c>
      <c r="F5" s="14" t="s">
        <v>78</v>
      </c>
      <c r="G5" s="14" t="s">
        <v>78</v>
      </c>
      <c r="H5" s="14" t="s">
        <v>199</v>
      </c>
      <c r="I5" s="5">
        <v>16</v>
      </c>
    </row>
    <row r="6" spans="1:9" ht="22.5" customHeight="1" x14ac:dyDescent="0.25">
      <c r="A6" s="8">
        <v>4</v>
      </c>
      <c r="B6" s="5">
        <v>7</v>
      </c>
      <c r="C6" s="5" t="s">
        <v>57</v>
      </c>
      <c r="D6" s="8" t="s">
        <v>78</v>
      </c>
      <c r="E6" s="5" t="s">
        <v>67</v>
      </c>
      <c r="F6" s="14" t="s">
        <v>78</v>
      </c>
      <c r="G6" s="14" t="s">
        <v>78</v>
      </c>
      <c r="H6" s="14" t="s">
        <v>199</v>
      </c>
      <c r="I6" s="5">
        <v>13</v>
      </c>
    </row>
    <row r="7" spans="1:9" ht="22.5" customHeight="1" x14ac:dyDescent="0.25">
      <c r="A7" s="8">
        <v>5</v>
      </c>
      <c r="B7" s="5">
        <v>2</v>
      </c>
      <c r="C7" s="5" t="s">
        <v>55</v>
      </c>
      <c r="D7" s="8" t="s">
        <v>78</v>
      </c>
      <c r="E7" s="5" t="s">
        <v>67</v>
      </c>
      <c r="F7" s="14" t="s">
        <v>78</v>
      </c>
      <c r="G7" s="14" t="s">
        <v>78</v>
      </c>
      <c r="H7" s="14" t="s">
        <v>199</v>
      </c>
      <c r="I7" s="5">
        <v>11</v>
      </c>
    </row>
    <row r="8" spans="1:9" ht="22.5" customHeight="1" x14ac:dyDescent="0.25">
      <c r="A8" s="8">
        <v>6</v>
      </c>
      <c r="B8" s="5">
        <v>3</v>
      </c>
      <c r="C8" s="5" t="s">
        <v>183</v>
      </c>
      <c r="D8" s="8" t="s">
        <v>78</v>
      </c>
      <c r="E8" s="5" t="s">
        <v>67</v>
      </c>
      <c r="F8" s="14" t="s">
        <v>78</v>
      </c>
      <c r="G8" s="14" t="s">
        <v>78</v>
      </c>
      <c r="H8" s="14" t="s">
        <v>200</v>
      </c>
      <c r="I8" s="5">
        <v>10</v>
      </c>
    </row>
    <row r="9" spans="1:9" ht="22.5" customHeight="1" x14ac:dyDescent="0.25">
      <c r="A9" s="8">
        <v>7</v>
      </c>
      <c r="B9" s="5">
        <v>5</v>
      </c>
      <c r="C9" s="5" t="s">
        <v>66</v>
      </c>
      <c r="D9" s="8" t="s">
        <v>78</v>
      </c>
      <c r="E9" s="5" t="s">
        <v>67</v>
      </c>
      <c r="F9" s="14" t="s">
        <v>78</v>
      </c>
      <c r="G9" s="14" t="s">
        <v>78</v>
      </c>
      <c r="H9" s="14" t="s">
        <v>71</v>
      </c>
      <c r="I9" s="5">
        <v>9</v>
      </c>
    </row>
    <row r="10" spans="1:9" ht="22.5" customHeight="1" x14ac:dyDescent="0.25">
      <c r="A10" s="8">
        <v>8</v>
      </c>
      <c r="B10" s="5">
        <v>4</v>
      </c>
      <c r="C10" s="5" t="s">
        <v>56</v>
      </c>
      <c r="D10" s="8" t="s">
        <v>78</v>
      </c>
      <c r="E10" s="5" t="s">
        <v>67</v>
      </c>
      <c r="F10" s="14" t="s">
        <v>78</v>
      </c>
      <c r="G10" s="14" t="s">
        <v>78</v>
      </c>
      <c r="H10" s="14" t="s">
        <v>71</v>
      </c>
      <c r="I10" s="5">
        <v>8</v>
      </c>
    </row>
    <row r="11" spans="1:9" ht="22.5" customHeight="1" x14ac:dyDescent="0.25">
      <c r="A11" s="8" t="s">
        <v>24</v>
      </c>
      <c r="B11" s="5"/>
      <c r="C11" s="5"/>
      <c r="D11" s="8"/>
      <c r="E11" s="5"/>
      <c r="F11" s="14"/>
      <c r="G11" s="14"/>
      <c r="H11" s="14"/>
      <c r="I11" s="5"/>
    </row>
    <row r="12" spans="1:9" ht="22.5" customHeight="1" x14ac:dyDescent="0.25">
      <c r="A12" s="8"/>
      <c r="B12" s="5"/>
      <c r="C12" s="5"/>
      <c r="D12" s="8"/>
      <c r="E12" s="5"/>
      <c r="F12" s="14"/>
      <c r="G12" s="14"/>
      <c r="H12" s="14"/>
      <c r="I12" s="5"/>
    </row>
    <row r="13" spans="1:9" ht="22.5" customHeight="1" x14ac:dyDescent="0.25">
      <c r="A13" s="8"/>
      <c r="B13" s="5"/>
      <c r="C13" s="5"/>
      <c r="D13" s="8"/>
      <c r="E13" s="5"/>
      <c r="F13" s="9"/>
      <c r="G13" s="10"/>
      <c r="H13" s="10"/>
      <c r="I13" s="5"/>
    </row>
    <row r="14" spans="1:9" ht="22.5" customHeight="1" x14ac:dyDescent="0.25">
      <c r="A14" s="8"/>
      <c r="B14" s="5"/>
      <c r="C14" s="5"/>
      <c r="D14" s="8"/>
      <c r="E14" s="5"/>
      <c r="F14" s="9"/>
      <c r="G14" s="10"/>
      <c r="H14" s="10"/>
      <c r="I14" s="5"/>
    </row>
    <row r="15" spans="1:9" ht="22.5" customHeight="1" x14ac:dyDescent="0.25">
      <c r="A15" s="8"/>
      <c r="B15" s="5"/>
      <c r="C15" s="5"/>
      <c r="D15" s="8"/>
      <c r="E15" s="5"/>
      <c r="F15" s="9"/>
      <c r="G15" s="10"/>
      <c r="H15" s="10"/>
      <c r="I15" s="5"/>
    </row>
    <row r="16" spans="1:9" ht="22.5" customHeight="1" x14ac:dyDescent="0.25">
      <c r="A16" s="8"/>
      <c r="B16" s="5"/>
      <c r="C16" s="5"/>
      <c r="D16" s="8"/>
      <c r="E16" s="5"/>
      <c r="F16" s="9"/>
      <c r="G16" s="10"/>
      <c r="H16" s="10"/>
      <c r="I16" s="5"/>
    </row>
    <row r="17" spans="1:9" ht="22.5" customHeight="1" x14ac:dyDescent="0.25">
      <c r="A17" s="8"/>
      <c r="B17" s="5"/>
      <c r="C17" s="5"/>
      <c r="D17" s="8"/>
      <c r="E17" s="5"/>
      <c r="F17" s="9"/>
      <c r="G17" s="10"/>
      <c r="H17" s="10"/>
      <c r="I17" s="5"/>
    </row>
    <row r="18" spans="1:9" ht="22.5" customHeight="1" x14ac:dyDescent="0.25">
      <c r="A18" s="8"/>
      <c r="B18" s="5"/>
      <c r="C18" s="5"/>
      <c r="D18" s="8"/>
      <c r="E18" s="5"/>
      <c r="F18" s="9"/>
      <c r="G18" s="10"/>
      <c r="H18" s="10"/>
      <c r="I18" s="5"/>
    </row>
    <row r="19" spans="1:9" ht="22.5" customHeight="1" x14ac:dyDescent="0.25">
      <c r="A19" s="8"/>
      <c r="B19" s="5"/>
      <c r="C19" s="5"/>
      <c r="D19" s="8"/>
      <c r="E19" s="5"/>
      <c r="F19" s="9"/>
      <c r="G19" s="10"/>
      <c r="H19" s="10"/>
      <c r="I19" s="5"/>
    </row>
    <row r="20" spans="1:9" ht="22.5" customHeight="1" x14ac:dyDescent="0.25">
      <c r="A20" s="8"/>
      <c r="B20" s="5"/>
      <c r="C20" s="5"/>
      <c r="D20" s="8"/>
      <c r="E20" s="5"/>
      <c r="F20" s="9"/>
      <c r="G20" s="10"/>
      <c r="H20" s="10"/>
      <c r="I20" s="5"/>
    </row>
    <row r="21" spans="1:9" ht="22.5" customHeight="1" x14ac:dyDescent="0.25">
      <c r="A21" s="8"/>
      <c r="B21" s="5"/>
      <c r="C21" s="5"/>
      <c r="D21" s="8"/>
      <c r="E21" s="5"/>
      <c r="F21" s="9"/>
      <c r="G21" s="10"/>
      <c r="H21" s="10"/>
      <c r="I21" s="5"/>
    </row>
    <row r="22" spans="1:9" ht="22.5" customHeight="1" x14ac:dyDescent="0.25">
      <c r="A22" s="8"/>
      <c r="B22" s="5"/>
      <c r="C22" s="5"/>
      <c r="D22" s="8"/>
      <c r="E22" s="5"/>
      <c r="F22" s="9"/>
      <c r="G22" s="10"/>
      <c r="H22" s="10"/>
      <c r="I22" s="5"/>
    </row>
    <row r="23" spans="1:9" ht="22.5" customHeight="1" x14ac:dyDescent="0.25">
      <c r="A23" s="8"/>
      <c r="B23" s="5"/>
      <c r="C23" s="5"/>
      <c r="D23" s="8"/>
      <c r="E23" s="5"/>
      <c r="F23" s="9"/>
      <c r="G23" s="10"/>
      <c r="H23" s="10"/>
      <c r="I23" s="5"/>
    </row>
    <row r="24" spans="1:9" ht="22.5" customHeight="1" x14ac:dyDescent="0.25">
      <c r="A24" s="8"/>
      <c r="B24" s="5"/>
      <c r="C24" s="5"/>
      <c r="D24" s="8"/>
      <c r="E24" s="5"/>
      <c r="F24" s="9"/>
      <c r="G24" s="10"/>
      <c r="H24" s="10"/>
      <c r="I24" s="5"/>
    </row>
    <row r="25" spans="1:9" ht="22.5" customHeight="1" x14ac:dyDescent="0.25">
      <c r="A25" s="8"/>
      <c r="B25" s="5"/>
      <c r="C25" s="5"/>
      <c r="D25" s="8"/>
      <c r="E25" s="5"/>
      <c r="F25" s="9"/>
      <c r="G25" s="10"/>
      <c r="H25" s="10"/>
      <c r="I25" s="5"/>
    </row>
    <row r="26" spans="1:9" ht="22.5" customHeight="1" x14ac:dyDescent="0.25">
      <c r="A26" s="8"/>
      <c r="B26" s="5"/>
      <c r="C26" s="5"/>
      <c r="D26" s="8"/>
      <c r="E26" s="5"/>
      <c r="F26" s="9"/>
      <c r="G26" s="10"/>
      <c r="H26" s="10"/>
      <c r="I26" s="5"/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1:I30"/>
  <sheetViews>
    <sheetView workbookViewId="0">
      <selection activeCell="D1" sqref="D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202</v>
      </c>
      <c r="B1" s="6"/>
      <c r="C1" s="6"/>
      <c r="D1" s="15">
        <v>42605.854166666664</v>
      </c>
      <c r="E1" s="5" t="s">
        <v>203</v>
      </c>
      <c r="F1" s="5" t="s">
        <v>204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">
        <v>78</v>
      </c>
      <c r="E3" s="5" t="s">
        <v>67</v>
      </c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">
        <v>78</v>
      </c>
      <c r="E4" s="5" t="s">
        <v>67</v>
      </c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">
        <v>78</v>
      </c>
      <c r="E5" s="5" t="s">
        <v>67</v>
      </c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">
        <v>78</v>
      </c>
      <c r="E6" s="5" t="s">
        <v>67</v>
      </c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">
        <v>78</v>
      </c>
      <c r="E7" s="5" t="s">
        <v>67</v>
      </c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">
        <v>78</v>
      </c>
      <c r="E8" s="5" t="s">
        <v>67</v>
      </c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">
        <v>78</v>
      </c>
      <c r="E9" s="5" t="s">
        <v>67</v>
      </c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">
        <v>78</v>
      </c>
      <c r="E10" s="5" t="s">
        <v>67</v>
      </c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">
        <v>78</v>
      </c>
      <c r="E11" s="5" t="s">
        <v>67</v>
      </c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">
        <v>78</v>
      </c>
      <c r="E12" s="5" t="s">
        <v>67</v>
      </c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">
        <v>78</v>
      </c>
      <c r="E13" s="5" t="s">
        <v>67</v>
      </c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">
        <v>78</v>
      </c>
      <c r="E14" s="5" t="s">
        <v>67</v>
      </c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">
        <v>78</v>
      </c>
      <c r="E15" s="5" t="s">
        <v>67</v>
      </c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">
        <v>78</v>
      </c>
      <c r="E16" s="5" t="s">
        <v>67</v>
      </c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1:I30"/>
  <sheetViews>
    <sheetView workbookViewId="0">
      <selection activeCell="D1" sqref="D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205</v>
      </c>
      <c r="B1" s="6"/>
      <c r="C1" s="6"/>
      <c r="D1" s="15">
        <v>42605.854166666664</v>
      </c>
      <c r="E1" s="5" t="s">
        <v>206</v>
      </c>
      <c r="F1" s="5" t="s">
        <v>204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">
        <v>78</v>
      </c>
      <c r="E3" s="5" t="s">
        <v>67</v>
      </c>
      <c r="F3" s="14" t="s">
        <v>78</v>
      </c>
      <c r="G3" s="14" t="s">
        <v>78</v>
      </c>
      <c r="H3" s="14"/>
      <c r="I3" s="5">
        <v>25</v>
      </c>
    </row>
    <row r="4" spans="1:9" ht="22.5" customHeight="1" x14ac:dyDescent="0.25">
      <c r="A4" s="8">
        <v>2</v>
      </c>
      <c r="B4" s="5"/>
      <c r="C4" s="5"/>
      <c r="D4" s="8" t="s">
        <v>78</v>
      </c>
      <c r="E4" s="5" t="s">
        <v>67</v>
      </c>
      <c r="F4" s="14" t="s">
        <v>78</v>
      </c>
      <c r="G4" s="14" t="s">
        <v>78</v>
      </c>
      <c r="H4" s="14"/>
      <c r="I4" s="5">
        <v>20</v>
      </c>
    </row>
    <row r="5" spans="1:9" ht="22.5" customHeight="1" x14ac:dyDescent="0.25">
      <c r="A5" s="8">
        <v>3</v>
      </c>
      <c r="B5" s="5"/>
      <c r="C5" s="5"/>
      <c r="D5" s="8" t="s">
        <v>78</v>
      </c>
      <c r="E5" s="5" t="s">
        <v>67</v>
      </c>
      <c r="F5" s="14" t="s">
        <v>78</v>
      </c>
      <c r="G5" s="14" t="s">
        <v>78</v>
      </c>
      <c r="H5" s="14"/>
      <c r="I5" s="5">
        <v>16</v>
      </c>
    </row>
    <row r="6" spans="1:9" ht="22.5" customHeight="1" x14ac:dyDescent="0.25">
      <c r="A6" s="8">
        <v>4</v>
      </c>
      <c r="B6" s="5"/>
      <c r="C6" s="5"/>
      <c r="D6" s="8" t="s">
        <v>78</v>
      </c>
      <c r="E6" s="5" t="s">
        <v>67</v>
      </c>
      <c r="F6" s="14" t="s">
        <v>78</v>
      </c>
      <c r="G6" s="14" t="s">
        <v>78</v>
      </c>
      <c r="H6" s="14"/>
      <c r="I6" s="5">
        <v>13</v>
      </c>
    </row>
    <row r="7" spans="1:9" ht="22.5" customHeight="1" x14ac:dyDescent="0.25">
      <c r="A7" s="8">
        <v>5</v>
      </c>
      <c r="B7" s="5"/>
      <c r="C7" s="5"/>
      <c r="D7" s="8" t="s">
        <v>78</v>
      </c>
      <c r="E7" s="5" t="s">
        <v>67</v>
      </c>
      <c r="F7" s="14" t="s">
        <v>78</v>
      </c>
      <c r="G7" s="14" t="s">
        <v>78</v>
      </c>
      <c r="H7" s="14"/>
      <c r="I7" s="5">
        <v>11</v>
      </c>
    </row>
    <row r="8" spans="1:9" ht="22.5" customHeight="1" x14ac:dyDescent="0.25">
      <c r="A8" s="8">
        <v>6</v>
      </c>
      <c r="B8" s="5"/>
      <c r="C8" s="5"/>
      <c r="D8" s="8" t="s">
        <v>78</v>
      </c>
      <c r="E8" s="5" t="s">
        <v>67</v>
      </c>
      <c r="F8" s="14" t="s">
        <v>78</v>
      </c>
      <c r="G8" s="14" t="s">
        <v>78</v>
      </c>
      <c r="H8" s="14"/>
      <c r="I8" s="5">
        <v>10</v>
      </c>
    </row>
    <row r="9" spans="1:9" ht="22.5" customHeight="1" x14ac:dyDescent="0.25">
      <c r="A9" s="8">
        <v>7</v>
      </c>
      <c r="B9" s="5"/>
      <c r="C9" s="5"/>
      <c r="D9" s="8" t="s">
        <v>78</v>
      </c>
      <c r="E9" s="5" t="s">
        <v>67</v>
      </c>
      <c r="F9" s="14" t="s">
        <v>78</v>
      </c>
      <c r="G9" s="14" t="s">
        <v>78</v>
      </c>
      <c r="H9" s="14"/>
      <c r="I9" s="5">
        <v>9</v>
      </c>
    </row>
    <row r="10" spans="1:9" ht="22.5" customHeight="1" x14ac:dyDescent="0.25">
      <c r="A10" s="8">
        <v>8</v>
      </c>
      <c r="B10" s="5"/>
      <c r="C10" s="5"/>
      <c r="D10" s="8" t="s">
        <v>78</v>
      </c>
      <c r="E10" s="5" t="s">
        <v>67</v>
      </c>
      <c r="F10" s="14" t="s">
        <v>78</v>
      </c>
      <c r="G10" s="14" t="s">
        <v>78</v>
      </c>
      <c r="H10" s="14"/>
      <c r="I10" s="5">
        <v>8</v>
      </c>
    </row>
    <row r="11" spans="1:9" ht="22.5" customHeight="1" x14ac:dyDescent="0.25">
      <c r="A11" s="8">
        <v>9</v>
      </c>
      <c r="B11" s="5"/>
      <c r="C11" s="5"/>
      <c r="D11" s="8" t="s">
        <v>78</v>
      </c>
      <c r="E11" s="5" t="s">
        <v>67</v>
      </c>
      <c r="F11" s="14" t="s">
        <v>78</v>
      </c>
      <c r="G11" s="14" t="s">
        <v>78</v>
      </c>
      <c r="H11" s="14"/>
      <c r="I11" s="5">
        <v>7</v>
      </c>
    </row>
    <row r="12" spans="1:9" ht="22.5" customHeight="1" x14ac:dyDescent="0.25">
      <c r="A12" s="8">
        <v>10</v>
      </c>
      <c r="B12" s="5"/>
      <c r="C12" s="5"/>
      <c r="D12" s="8" t="s">
        <v>78</v>
      </c>
      <c r="E12" s="5" t="s">
        <v>67</v>
      </c>
      <c r="F12" s="14" t="s">
        <v>78</v>
      </c>
      <c r="G12" s="14" t="s">
        <v>78</v>
      </c>
      <c r="H12" s="14"/>
      <c r="I12" s="5">
        <v>6</v>
      </c>
    </row>
    <row r="13" spans="1:9" ht="22.5" customHeight="1" x14ac:dyDescent="0.25">
      <c r="A13" s="8">
        <v>11</v>
      </c>
      <c r="B13" s="5"/>
      <c r="C13" s="5"/>
      <c r="D13" s="8" t="s">
        <v>78</v>
      </c>
      <c r="E13" s="5" t="s">
        <v>67</v>
      </c>
      <c r="F13" s="14" t="s">
        <v>78</v>
      </c>
      <c r="G13" s="14" t="s">
        <v>78</v>
      </c>
      <c r="H13" s="14"/>
      <c r="I13" s="5">
        <v>5</v>
      </c>
    </row>
    <row r="14" spans="1:9" ht="22.5" customHeight="1" x14ac:dyDescent="0.25">
      <c r="A14" s="8">
        <v>12</v>
      </c>
      <c r="B14" s="5"/>
      <c r="C14" s="5"/>
      <c r="D14" s="8" t="s">
        <v>78</v>
      </c>
      <c r="E14" s="5" t="s">
        <v>67</v>
      </c>
      <c r="F14" s="14" t="s">
        <v>78</v>
      </c>
      <c r="G14" s="14" t="s">
        <v>78</v>
      </c>
      <c r="H14" s="14"/>
      <c r="I14" s="5">
        <v>4</v>
      </c>
    </row>
    <row r="15" spans="1:9" ht="22.5" customHeight="1" x14ac:dyDescent="0.25">
      <c r="A15" s="8">
        <v>13</v>
      </c>
      <c r="B15" s="5"/>
      <c r="C15" s="5"/>
      <c r="D15" s="8" t="s">
        <v>78</v>
      </c>
      <c r="E15" s="5" t="s">
        <v>67</v>
      </c>
      <c r="F15" s="14" t="s">
        <v>78</v>
      </c>
      <c r="G15" s="14" t="s">
        <v>78</v>
      </c>
      <c r="H15" s="14"/>
      <c r="I15" s="5">
        <v>3</v>
      </c>
    </row>
    <row r="16" spans="1:9" ht="22.5" customHeight="1" x14ac:dyDescent="0.25">
      <c r="A16" s="8">
        <v>14</v>
      </c>
      <c r="B16" s="5"/>
      <c r="C16" s="5"/>
      <c r="D16" s="8" t="s">
        <v>78</v>
      </c>
      <c r="E16" s="5" t="s">
        <v>67</v>
      </c>
      <c r="F16" s="14" t="s">
        <v>78</v>
      </c>
      <c r="G16" s="14" t="s">
        <v>78</v>
      </c>
      <c r="H16" s="14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1:I30"/>
  <sheetViews>
    <sheetView workbookViewId="0">
      <selection activeCell="D1" sqref="D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207</v>
      </c>
      <c r="B1" s="6"/>
      <c r="C1" s="6"/>
      <c r="D1" s="15">
        <v>42612.854166666664</v>
      </c>
      <c r="E1" s="5" t="s">
        <v>208</v>
      </c>
      <c r="F1" s="5" t="s">
        <v>209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">
        <v>78</v>
      </c>
      <c r="E3" s="5" t="s">
        <v>67</v>
      </c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">
        <v>78</v>
      </c>
      <c r="E4" s="5" t="s">
        <v>67</v>
      </c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">
        <v>78</v>
      </c>
      <c r="E5" s="5" t="s">
        <v>67</v>
      </c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">
        <v>78</v>
      </c>
      <c r="E6" s="5" t="s">
        <v>67</v>
      </c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">
        <v>78</v>
      </c>
      <c r="E7" s="5" t="s">
        <v>67</v>
      </c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">
        <v>78</v>
      </c>
      <c r="E8" s="5" t="s">
        <v>67</v>
      </c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">
        <v>78</v>
      </c>
      <c r="E9" s="5" t="s">
        <v>67</v>
      </c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">
        <v>78</v>
      </c>
      <c r="E10" s="5" t="s">
        <v>67</v>
      </c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">
        <v>78</v>
      </c>
      <c r="E11" s="5" t="s">
        <v>67</v>
      </c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">
        <v>78</v>
      </c>
      <c r="E12" s="5" t="s">
        <v>67</v>
      </c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">
        <v>78</v>
      </c>
      <c r="E13" s="5" t="s">
        <v>67</v>
      </c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">
        <v>78</v>
      </c>
      <c r="E14" s="5" t="s">
        <v>67</v>
      </c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">
        <v>78</v>
      </c>
      <c r="E15" s="5" t="s">
        <v>67</v>
      </c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">
        <v>78</v>
      </c>
      <c r="E16" s="5" t="s">
        <v>67</v>
      </c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1:I30"/>
  <sheetViews>
    <sheetView zoomScale="90" zoomScaleNormal="90" workbookViewId="0">
      <selection activeCell="D1" sqref="D1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14" t="s">
        <v>211</v>
      </c>
      <c r="B1" s="6"/>
      <c r="C1" s="6"/>
      <c r="D1" s="15">
        <v>42612.854166666664</v>
      </c>
      <c r="E1" s="5" t="s">
        <v>212</v>
      </c>
      <c r="F1" s="5" t="s">
        <v>210</v>
      </c>
      <c r="G1" s="5"/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">
        <v>78</v>
      </c>
      <c r="E3" s="5" t="s">
        <v>67</v>
      </c>
      <c r="F3" s="14" t="s">
        <v>78</v>
      </c>
      <c r="G3" s="14" t="s">
        <v>78</v>
      </c>
      <c r="H3" s="14"/>
      <c r="I3" s="5">
        <v>25</v>
      </c>
    </row>
    <row r="4" spans="1:9" ht="22.5" customHeight="1" x14ac:dyDescent="0.25">
      <c r="A4" s="8">
        <v>2</v>
      </c>
      <c r="B4" s="5"/>
      <c r="C4" s="5"/>
      <c r="D4" s="8" t="s">
        <v>78</v>
      </c>
      <c r="E4" s="5" t="s">
        <v>67</v>
      </c>
      <c r="F4" s="14" t="s">
        <v>78</v>
      </c>
      <c r="G4" s="14" t="s">
        <v>78</v>
      </c>
      <c r="H4" s="14"/>
      <c r="I4" s="5">
        <v>20</v>
      </c>
    </row>
    <row r="5" spans="1:9" ht="22.5" customHeight="1" x14ac:dyDescent="0.25">
      <c r="A5" s="8">
        <v>3</v>
      </c>
      <c r="B5" s="5"/>
      <c r="C5" s="5"/>
      <c r="D5" s="8" t="s">
        <v>78</v>
      </c>
      <c r="E5" s="5" t="s">
        <v>67</v>
      </c>
      <c r="F5" s="14" t="s">
        <v>78</v>
      </c>
      <c r="G5" s="14" t="s">
        <v>78</v>
      </c>
      <c r="H5" s="14"/>
      <c r="I5" s="5">
        <v>16</v>
      </c>
    </row>
    <row r="6" spans="1:9" ht="22.5" customHeight="1" x14ac:dyDescent="0.25">
      <c r="A6" s="8">
        <v>4</v>
      </c>
      <c r="B6" s="5"/>
      <c r="C6" s="5"/>
      <c r="D6" s="8" t="s">
        <v>78</v>
      </c>
      <c r="E6" s="5" t="s">
        <v>67</v>
      </c>
      <c r="F6" s="14" t="s">
        <v>78</v>
      </c>
      <c r="G6" s="14" t="s">
        <v>78</v>
      </c>
      <c r="H6" s="14"/>
      <c r="I6" s="5">
        <v>13</v>
      </c>
    </row>
    <row r="7" spans="1:9" ht="22.5" customHeight="1" x14ac:dyDescent="0.25">
      <c r="A7" s="8">
        <v>5</v>
      </c>
      <c r="B7" s="5"/>
      <c r="C7" s="5"/>
      <c r="D7" s="8" t="s">
        <v>78</v>
      </c>
      <c r="E7" s="5" t="s">
        <v>67</v>
      </c>
      <c r="F7" s="14" t="s">
        <v>78</v>
      </c>
      <c r="G7" s="14" t="s">
        <v>78</v>
      </c>
      <c r="H7" s="14"/>
      <c r="I7" s="5">
        <v>11</v>
      </c>
    </row>
    <row r="8" spans="1:9" ht="22.5" customHeight="1" x14ac:dyDescent="0.25">
      <c r="A8" s="8">
        <v>6</v>
      </c>
      <c r="B8" s="5"/>
      <c r="C8" s="5"/>
      <c r="D8" s="8" t="s">
        <v>78</v>
      </c>
      <c r="E8" s="5" t="s">
        <v>67</v>
      </c>
      <c r="F8" s="14" t="s">
        <v>78</v>
      </c>
      <c r="G8" s="14" t="s">
        <v>78</v>
      </c>
      <c r="H8" s="14"/>
      <c r="I8" s="5">
        <v>10</v>
      </c>
    </row>
    <row r="9" spans="1:9" ht="22.5" customHeight="1" x14ac:dyDescent="0.25">
      <c r="A9" s="8">
        <v>7</v>
      </c>
      <c r="B9" s="5"/>
      <c r="C9" s="5"/>
      <c r="D9" s="8" t="s">
        <v>78</v>
      </c>
      <c r="E9" s="5" t="s">
        <v>67</v>
      </c>
      <c r="F9" s="14" t="s">
        <v>78</v>
      </c>
      <c r="G9" s="14" t="s">
        <v>78</v>
      </c>
      <c r="H9" s="14"/>
      <c r="I9" s="5">
        <v>9</v>
      </c>
    </row>
    <row r="10" spans="1:9" ht="22.5" customHeight="1" x14ac:dyDescent="0.25">
      <c r="A10" s="8">
        <v>8</v>
      </c>
      <c r="B10" s="5"/>
      <c r="C10" s="5"/>
      <c r="D10" s="8" t="s">
        <v>78</v>
      </c>
      <c r="E10" s="5" t="s">
        <v>67</v>
      </c>
      <c r="F10" s="14" t="s">
        <v>78</v>
      </c>
      <c r="G10" s="14" t="s">
        <v>78</v>
      </c>
      <c r="H10" s="14"/>
      <c r="I10" s="5">
        <v>8</v>
      </c>
    </row>
    <row r="11" spans="1:9" ht="22.5" customHeight="1" x14ac:dyDescent="0.25">
      <c r="A11" s="8">
        <v>9</v>
      </c>
      <c r="B11" s="5"/>
      <c r="C11" s="5"/>
      <c r="D11" s="8" t="s">
        <v>78</v>
      </c>
      <c r="E11" s="5" t="s">
        <v>67</v>
      </c>
      <c r="F11" s="14" t="s">
        <v>78</v>
      </c>
      <c r="G11" s="14" t="s">
        <v>78</v>
      </c>
      <c r="H11" s="14"/>
      <c r="I11" s="5">
        <v>7</v>
      </c>
    </row>
    <row r="12" spans="1:9" ht="22.5" customHeight="1" x14ac:dyDescent="0.25">
      <c r="A12" s="8">
        <v>10</v>
      </c>
      <c r="B12" s="5"/>
      <c r="C12" s="5"/>
      <c r="D12" s="8" t="s">
        <v>78</v>
      </c>
      <c r="E12" s="5" t="s">
        <v>67</v>
      </c>
      <c r="F12" s="14" t="s">
        <v>78</v>
      </c>
      <c r="G12" s="14" t="s">
        <v>78</v>
      </c>
      <c r="H12" s="14"/>
      <c r="I12" s="5">
        <v>6</v>
      </c>
    </row>
    <row r="13" spans="1:9" ht="22.5" customHeight="1" x14ac:dyDescent="0.25">
      <c r="A13" s="8">
        <v>11</v>
      </c>
      <c r="B13" s="5"/>
      <c r="C13" s="5"/>
      <c r="D13" s="8" t="s">
        <v>78</v>
      </c>
      <c r="E13" s="5" t="s">
        <v>67</v>
      </c>
      <c r="F13" s="14" t="s">
        <v>78</v>
      </c>
      <c r="G13" s="14" t="s">
        <v>78</v>
      </c>
      <c r="H13" s="14"/>
      <c r="I13" s="5">
        <v>5</v>
      </c>
    </row>
    <row r="14" spans="1:9" ht="22.5" customHeight="1" x14ac:dyDescent="0.25">
      <c r="A14" s="8">
        <v>12</v>
      </c>
      <c r="B14" s="5"/>
      <c r="C14" s="5"/>
      <c r="D14" s="8" t="s">
        <v>78</v>
      </c>
      <c r="E14" s="5" t="s">
        <v>67</v>
      </c>
      <c r="F14" s="14" t="s">
        <v>78</v>
      </c>
      <c r="G14" s="14" t="s">
        <v>78</v>
      </c>
      <c r="H14" s="14"/>
      <c r="I14" s="5">
        <v>4</v>
      </c>
    </row>
    <row r="15" spans="1:9" ht="22.5" customHeight="1" x14ac:dyDescent="0.25">
      <c r="A15" s="8">
        <v>13</v>
      </c>
      <c r="B15" s="5"/>
      <c r="C15" s="5"/>
      <c r="D15" s="8" t="s">
        <v>78</v>
      </c>
      <c r="E15" s="5" t="s">
        <v>67</v>
      </c>
      <c r="F15" s="14" t="s">
        <v>78</v>
      </c>
      <c r="G15" s="14" t="s">
        <v>78</v>
      </c>
      <c r="H15" s="14"/>
      <c r="I15" s="5">
        <v>3</v>
      </c>
    </row>
    <row r="16" spans="1:9" ht="22.5" customHeight="1" x14ac:dyDescent="0.25">
      <c r="A16" s="8">
        <v>14</v>
      </c>
      <c r="B16" s="5"/>
      <c r="C16" s="5"/>
      <c r="D16" s="8" t="s">
        <v>78</v>
      </c>
      <c r="E16" s="5" t="s">
        <v>67</v>
      </c>
      <c r="F16" s="14" t="s">
        <v>78</v>
      </c>
      <c r="G16" s="14" t="s">
        <v>78</v>
      </c>
      <c r="H16" s="14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49</v>
      </c>
      <c r="B1" s="6"/>
      <c r="C1" s="6"/>
      <c r="D1" s="6"/>
      <c r="E1" s="5" t="s">
        <v>26</v>
      </c>
      <c r="F1" s="5" t="s">
        <v>50</v>
      </c>
      <c r="G1" s="5" t="s">
        <v>51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7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49</v>
      </c>
      <c r="B1" s="6"/>
      <c r="C1" s="6"/>
      <c r="D1" s="6"/>
      <c r="E1" s="5" t="s">
        <v>26</v>
      </c>
      <c r="F1" s="5" t="s">
        <v>50</v>
      </c>
      <c r="G1" s="5" t="s">
        <v>51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49</v>
      </c>
      <c r="B1" s="6"/>
      <c r="C1" s="6"/>
      <c r="D1" s="6"/>
      <c r="E1" s="5" t="s">
        <v>26</v>
      </c>
      <c r="F1" s="5" t="s">
        <v>50</v>
      </c>
      <c r="G1" s="5" t="s">
        <v>51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49</v>
      </c>
      <c r="B1" s="6"/>
      <c r="C1" s="6"/>
      <c r="D1" s="6"/>
      <c r="E1" s="5" t="s">
        <v>26</v>
      </c>
      <c r="F1" s="5" t="s">
        <v>50</v>
      </c>
      <c r="G1" s="5" t="s">
        <v>51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49</v>
      </c>
      <c r="B1" s="6"/>
      <c r="C1" s="6"/>
      <c r="D1" s="6"/>
      <c r="E1" s="5" t="s">
        <v>26</v>
      </c>
      <c r="F1" s="5" t="s">
        <v>50</v>
      </c>
      <c r="G1" s="5" t="s">
        <v>51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49</v>
      </c>
      <c r="B1" s="6"/>
      <c r="C1" s="6"/>
      <c r="D1" s="6"/>
      <c r="E1" s="5" t="s">
        <v>26</v>
      </c>
      <c r="F1" s="5" t="s">
        <v>50</v>
      </c>
      <c r="G1" s="5" t="s">
        <v>51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7"/>
  </cols>
  <sheetData>
    <row r="1" spans="1:9" ht="19.5" customHeight="1" x14ac:dyDescent="0.25">
      <c r="A1" s="5" t="s">
        <v>49</v>
      </c>
      <c r="B1" s="6"/>
      <c r="C1" s="6"/>
      <c r="D1" s="6"/>
      <c r="E1" s="5" t="s">
        <v>26</v>
      </c>
      <c r="F1" s="5" t="s">
        <v>50</v>
      </c>
      <c r="G1" s="5" t="s">
        <v>51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1:I30"/>
  <sheetViews>
    <sheetView workbookViewId="0">
      <selection sqref="A1:XFD1048576"/>
    </sheetView>
  </sheetViews>
  <sheetFormatPr baseColWidth="10" defaultColWidth="20.7109375" defaultRowHeight="22.5" customHeight="1" x14ac:dyDescent="0.25"/>
  <cols>
    <col min="1" max="16384" width="20.7109375" style="7"/>
  </cols>
  <sheetData>
    <row r="1" spans="1:9" ht="19.5" customHeight="1" x14ac:dyDescent="0.25">
      <c r="A1" s="5" t="s">
        <v>49</v>
      </c>
      <c r="B1" s="6"/>
      <c r="C1" s="6"/>
      <c r="D1" s="6"/>
      <c r="E1" s="5" t="s">
        <v>26</v>
      </c>
      <c r="F1" s="5" t="s">
        <v>50</v>
      </c>
      <c r="G1" s="5" t="s">
        <v>51</v>
      </c>
      <c r="H1" s="6"/>
      <c r="I1" s="6"/>
    </row>
    <row r="2" spans="1:9" ht="16.5" customHeight="1" x14ac:dyDescent="0.25">
      <c r="A2" s="8" t="s">
        <v>0</v>
      </c>
      <c r="B2" s="8" t="s">
        <v>48</v>
      </c>
      <c r="C2" s="8" t="s">
        <v>1</v>
      </c>
      <c r="D2" s="8" t="s">
        <v>3</v>
      </c>
      <c r="E2" s="8" t="s">
        <v>4</v>
      </c>
      <c r="F2" s="8" t="s">
        <v>5</v>
      </c>
      <c r="G2" s="8" t="s">
        <v>7</v>
      </c>
      <c r="H2" s="8" t="s">
        <v>6</v>
      </c>
      <c r="I2" s="8" t="s">
        <v>2</v>
      </c>
    </row>
    <row r="3" spans="1:9" ht="22.5" customHeight="1" x14ac:dyDescent="0.25">
      <c r="A3" s="8">
        <v>1</v>
      </c>
      <c r="B3" s="5"/>
      <c r="C3" s="5"/>
      <c r="D3" s="8" t="str">
        <f>IF(ISNA(VLOOKUP(C3,Teamliste!$C$3:$D$32,2,FALSE)),"",VLOOKUP(C3,Teamliste!$C$3:$D$32,2,FALSE))</f>
        <v/>
      </c>
      <c r="E3" s="5"/>
      <c r="F3" s="9"/>
      <c r="G3" s="10"/>
      <c r="H3" s="10"/>
      <c r="I3" s="5">
        <v>25</v>
      </c>
    </row>
    <row r="4" spans="1:9" ht="22.5" customHeight="1" x14ac:dyDescent="0.25">
      <c r="A4" s="8">
        <v>2</v>
      </c>
      <c r="B4" s="5"/>
      <c r="C4" s="5"/>
      <c r="D4" s="8" t="str">
        <f>IF(ISNA(VLOOKUP(C4,Teamliste!$C$3:$D$32,2,FALSE)),"",VLOOKUP(C4,Teamliste!$C$3:$D$32,2,FALSE))</f>
        <v/>
      </c>
      <c r="E4" s="5"/>
      <c r="F4" s="9"/>
      <c r="G4" s="10">
        <f>H4-H3</f>
        <v>0</v>
      </c>
      <c r="H4" s="10"/>
      <c r="I4" s="5">
        <v>20</v>
      </c>
    </row>
    <row r="5" spans="1:9" ht="22.5" customHeight="1" x14ac:dyDescent="0.25">
      <c r="A5" s="8">
        <v>3</v>
      </c>
      <c r="B5" s="5"/>
      <c r="C5" s="5"/>
      <c r="D5" s="8" t="str">
        <f>IF(ISNA(VLOOKUP(C5,Teamliste!$C$3:$D$32,2,FALSE)),"",VLOOKUP(C5,Teamliste!$C$3:$D$32,2,FALSE))</f>
        <v/>
      </c>
      <c r="E5" s="5"/>
      <c r="F5" s="9"/>
      <c r="G5" s="10">
        <f>H5-H3</f>
        <v>0</v>
      </c>
      <c r="H5" s="10"/>
      <c r="I5" s="5">
        <v>16</v>
      </c>
    </row>
    <row r="6" spans="1:9" ht="22.5" customHeight="1" x14ac:dyDescent="0.25">
      <c r="A6" s="8">
        <v>4</v>
      </c>
      <c r="B6" s="5"/>
      <c r="C6" s="5"/>
      <c r="D6" s="8" t="str">
        <f>IF(ISNA(VLOOKUP(C6,Teamliste!$C$3:$D$32,2,FALSE)),"",VLOOKUP(C6,Teamliste!$C$3:$D$32,2,FALSE))</f>
        <v/>
      </c>
      <c r="E6" s="5"/>
      <c r="F6" s="9"/>
      <c r="G6" s="10">
        <f>H6-H3</f>
        <v>0</v>
      </c>
      <c r="H6" s="10"/>
      <c r="I6" s="5">
        <v>13</v>
      </c>
    </row>
    <row r="7" spans="1:9" ht="22.5" customHeight="1" x14ac:dyDescent="0.25">
      <c r="A7" s="8">
        <v>5</v>
      </c>
      <c r="B7" s="5"/>
      <c r="C7" s="5"/>
      <c r="D7" s="8" t="str">
        <f>IF(ISNA(VLOOKUP(C7,Teamliste!$C$3:$D$32,2,FALSE)),"",VLOOKUP(C7,Teamliste!$C$3:$D$32,2,FALSE))</f>
        <v/>
      </c>
      <c r="E7" s="5"/>
      <c r="F7" s="9"/>
      <c r="G7" s="10">
        <f>H7-H3</f>
        <v>0</v>
      </c>
      <c r="H7" s="10"/>
      <c r="I7" s="5">
        <v>11</v>
      </c>
    </row>
    <row r="8" spans="1:9" ht="22.5" customHeight="1" x14ac:dyDescent="0.25">
      <c r="A8" s="8">
        <v>6</v>
      </c>
      <c r="B8" s="5"/>
      <c r="C8" s="5"/>
      <c r="D8" s="8" t="str">
        <f>IF(ISNA(VLOOKUP(C8,Teamliste!$C$3:$D$32,2,FALSE)),"",VLOOKUP(C8,Teamliste!$C$3:$D$32,2,FALSE))</f>
        <v/>
      </c>
      <c r="E8" s="5"/>
      <c r="F8" s="9"/>
      <c r="G8" s="10">
        <f>H8-H3</f>
        <v>0</v>
      </c>
      <c r="H8" s="10"/>
      <c r="I8" s="5">
        <v>10</v>
      </c>
    </row>
    <row r="9" spans="1:9" ht="22.5" customHeight="1" x14ac:dyDescent="0.25">
      <c r="A9" s="8">
        <v>7</v>
      </c>
      <c r="B9" s="5"/>
      <c r="C9" s="5"/>
      <c r="D9" s="8" t="str">
        <f>IF(ISNA(VLOOKUP(C9,Teamliste!$C$3:$D$32,2,FALSE)),"",VLOOKUP(C9,Teamliste!$C$3:$D$32,2,FALSE))</f>
        <v/>
      </c>
      <c r="E9" s="5"/>
      <c r="F9" s="9"/>
      <c r="G9" s="10">
        <f>H9-H3</f>
        <v>0</v>
      </c>
      <c r="H9" s="10"/>
      <c r="I9" s="5">
        <v>9</v>
      </c>
    </row>
    <row r="10" spans="1:9" ht="22.5" customHeight="1" x14ac:dyDescent="0.25">
      <c r="A10" s="8">
        <v>8</v>
      </c>
      <c r="B10" s="5"/>
      <c r="C10" s="5"/>
      <c r="D10" s="8" t="str">
        <f>IF(ISNA(VLOOKUP(C10,Teamliste!$C$3:$D$32,2,FALSE)),"",VLOOKUP(C10,Teamliste!$C$3:$D$32,2,FALSE))</f>
        <v/>
      </c>
      <c r="E10" s="5"/>
      <c r="F10" s="9"/>
      <c r="G10" s="10">
        <f>H10-H3</f>
        <v>0</v>
      </c>
      <c r="H10" s="10"/>
      <c r="I10" s="5">
        <v>8</v>
      </c>
    </row>
    <row r="11" spans="1:9" ht="22.5" customHeight="1" x14ac:dyDescent="0.25">
      <c r="A11" s="8">
        <v>9</v>
      </c>
      <c r="B11" s="5"/>
      <c r="C11" s="5"/>
      <c r="D11" s="8" t="str">
        <f>IF(ISNA(VLOOKUP(C11,Teamliste!$C$3:$D$32,2,FALSE)),"",VLOOKUP(C11,Teamliste!$C$3:$D$32,2,FALSE))</f>
        <v/>
      </c>
      <c r="E11" s="5"/>
      <c r="F11" s="9"/>
      <c r="G11" s="10">
        <f>H11-H3</f>
        <v>0</v>
      </c>
      <c r="H11" s="10"/>
      <c r="I11" s="5">
        <v>7</v>
      </c>
    </row>
    <row r="12" spans="1:9" ht="22.5" customHeight="1" x14ac:dyDescent="0.25">
      <c r="A12" s="8">
        <v>10</v>
      </c>
      <c r="B12" s="5"/>
      <c r="C12" s="5"/>
      <c r="D12" s="8" t="str">
        <f>IF(ISNA(VLOOKUP(C12,Teamliste!$C$3:$D$32,2,FALSE)),"",VLOOKUP(C12,Teamliste!$C$3:$D$32,2,FALSE))</f>
        <v/>
      </c>
      <c r="E12" s="5"/>
      <c r="F12" s="9"/>
      <c r="G12" s="10">
        <f>H12-H3</f>
        <v>0</v>
      </c>
      <c r="H12" s="10"/>
      <c r="I12" s="5">
        <v>6</v>
      </c>
    </row>
    <row r="13" spans="1:9" ht="22.5" customHeight="1" x14ac:dyDescent="0.25">
      <c r="A13" s="8">
        <v>11</v>
      </c>
      <c r="B13" s="5"/>
      <c r="C13" s="5"/>
      <c r="D13" s="8" t="str">
        <f>IF(ISNA(VLOOKUP(C13,Teamliste!$C$3:$D$32,2,FALSE)),"",VLOOKUP(C13,Teamliste!$C$3:$D$32,2,FALSE))</f>
        <v/>
      </c>
      <c r="E13" s="5"/>
      <c r="F13" s="9"/>
      <c r="G13" s="10">
        <f>H13-H3</f>
        <v>0</v>
      </c>
      <c r="H13" s="10"/>
      <c r="I13" s="5">
        <v>5</v>
      </c>
    </row>
    <row r="14" spans="1:9" ht="22.5" customHeight="1" x14ac:dyDescent="0.25">
      <c r="A14" s="8">
        <v>12</v>
      </c>
      <c r="B14" s="5"/>
      <c r="C14" s="5"/>
      <c r="D14" s="8" t="str">
        <f>IF(ISNA(VLOOKUP(C14,Teamliste!$C$3:$D$32,2,FALSE)),"",VLOOKUP(C14,Teamliste!$C$3:$D$32,2,FALSE))</f>
        <v/>
      </c>
      <c r="E14" s="5"/>
      <c r="F14" s="9"/>
      <c r="G14" s="10">
        <f>H14-H3</f>
        <v>0</v>
      </c>
      <c r="H14" s="10"/>
      <c r="I14" s="5">
        <v>4</v>
      </c>
    </row>
    <row r="15" spans="1:9" ht="22.5" customHeight="1" x14ac:dyDescent="0.25">
      <c r="A15" s="8">
        <v>13</v>
      </c>
      <c r="B15" s="5"/>
      <c r="C15" s="5"/>
      <c r="D15" s="8" t="str">
        <f>IF(ISNA(VLOOKUP(C15,Teamliste!$C$3:$D$32,2,FALSE)),"",VLOOKUP(C15,Teamliste!$C$3:$D$32,2,FALSE))</f>
        <v/>
      </c>
      <c r="E15" s="5"/>
      <c r="F15" s="9"/>
      <c r="G15" s="10">
        <f>H15-H3</f>
        <v>0</v>
      </c>
      <c r="H15" s="10"/>
      <c r="I15" s="5">
        <v>3</v>
      </c>
    </row>
    <row r="16" spans="1:9" ht="22.5" customHeight="1" x14ac:dyDescent="0.25">
      <c r="A16" s="8">
        <v>14</v>
      </c>
      <c r="B16" s="5"/>
      <c r="C16" s="5"/>
      <c r="D16" s="8" t="str">
        <f>IF(ISNA(VLOOKUP(C16,Teamliste!$C$3:$D$32,2,FALSE)),"",VLOOKUP(C16,Teamliste!$C$3:$D$32,2,FALSE))</f>
        <v/>
      </c>
      <c r="E16" s="5"/>
      <c r="F16" s="9"/>
      <c r="G16" s="10">
        <f>H16-H3</f>
        <v>0</v>
      </c>
      <c r="H16" s="10"/>
      <c r="I16" s="5">
        <v>2</v>
      </c>
    </row>
    <row r="17" spans="1:9" ht="22.5" customHeight="1" x14ac:dyDescent="0.25">
      <c r="A17" s="8">
        <v>15</v>
      </c>
      <c r="B17" s="5"/>
      <c r="C17" s="5"/>
      <c r="D17" s="8" t="str">
        <f>IF(ISNA(VLOOKUP(C17,Teamliste!$C$3:$D$32,2,FALSE)),"",VLOOKUP(C17,Teamliste!$C$3:$D$32,2,FALSE))</f>
        <v/>
      </c>
      <c r="E17" s="5"/>
      <c r="F17" s="9"/>
      <c r="G17" s="10">
        <f>H17-H3</f>
        <v>0</v>
      </c>
      <c r="H17" s="10"/>
      <c r="I17" s="5">
        <v>1</v>
      </c>
    </row>
    <row r="18" spans="1:9" ht="22.5" customHeight="1" x14ac:dyDescent="0.25">
      <c r="A18" s="8">
        <v>16</v>
      </c>
      <c r="B18" s="5"/>
      <c r="C18" s="5"/>
      <c r="D18" s="8" t="str">
        <f>IF(ISNA(VLOOKUP(C18,Teamliste!$C$3:$D$32,2,FALSE)),"",VLOOKUP(C18,Teamliste!$C$3:$D$32,2,FALSE))</f>
        <v/>
      </c>
      <c r="E18" s="5"/>
      <c r="F18" s="9"/>
      <c r="G18" s="10">
        <f>H18-H3</f>
        <v>0</v>
      </c>
      <c r="H18" s="10"/>
      <c r="I18" s="5">
        <v>0</v>
      </c>
    </row>
    <row r="19" spans="1:9" ht="22.5" customHeight="1" x14ac:dyDescent="0.25">
      <c r="A19" s="8">
        <v>17</v>
      </c>
      <c r="B19" s="5"/>
      <c r="C19" s="5"/>
      <c r="D19" s="8" t="str">
        <f>IF(ISNA(VLOOKUP(C19,Teamliste!$C$3:$D$32,2,FALSE)),"",VLOOKUP(C19,Teamliste!$C$3:$D$32,2,FALSE))</f>
        <v/>
      </c>
      <c r="E19" s="5"/>
      <c r="F19" s="9"/>
      <c r="G19" s="10">
        <f>H19-H3</f>
        <v>0</v>
      </c>
      <c r="H19" s="10"/>
      <c r="I19" s="5">
        <v>0</v>
      </c>
    </row>
    <row r="20" spans="1:9" ht="22.5" customHeight="1" x14ac:dyDescent="0.25">
      <c r="A20" s="8">
        <v>18</v>
      </c>
      <c r="B20" s="5"/>
      <c r="C20" s="5"/>
      <c r="D20" s="8" t="str">
        <f>IF(ISNA(VLOOKUP(C20,Teamliste!$C$3:$D$32,2,FALSE)),"",VLOOKUP(C20,Teamliste!$C$3:$D$32,2,FALSE))</f>
        <v/>
      </c>
      <c r="E20" s="5"/>
      <c r="F20" s="9"/>
      <c r="G20" s="10">
        <f>H20-H3</f>
        <v>0</v>
      </c>
      <c r="H20" s="10"/>
      <c r="I20" s="5">
        <v>0</v>
      </c>
    </row>
    <row r="21" spans="1:9" ht="22.5" customHeight="1" x14ac:dyDescent="0.25">
      <c r="A21" s="8">
        <v>19</v>
      </c>
      <c r="B21" s="5"/>
      <c r="C21" s="5"/>
      <c r="D21" s="8" t="str">
        <f>IF(ISNA(VLOOKUP(C21,Teamliste!$C$3:$D$32,2,FALSE)),"",VLOOKUP(C21,Teamliste!$C$3:$D$32,2,FALSE))</f>
        <v/>
      </c>
      <c r="E21" s="5"/>
      <c r="F21" s="9"/>
      <c r="G21" s="10">
        <f>H21-H3</f>
        <v>0</v>
      </c>
      <c r="H21" s="10"/>
      <c r="I21" s="5">
        <v>0</v>
      </c>
    </row>
    <row r="22" spans="1:9" ht="22.5" customHeight="1" x14ac:dyDescent="0.25">
      <c r="A22" s="8">
        <v>20</v>
      </c>
      <c r="B22" s="5"/>
      <c r="C22" s="5"/>
      <c r="D22" s="8" t="str">
        <f>IF(ISNA(VLOOKUP(C22,Teamliste!$C$3:$D$32,2,FALSE)),"",VLOOKUP(C22,Teamliste!$C$3:$D$32,2,FALSE))</f>
        <v/>
      </c>
      <c r="E22" s="5"/>
      <c r="F22" s="9"/>
      <c r="G22" s="10">
        <f>H22-H3</f>
        <v>0</v>
      </c>
      <c r="H22" s="10"/>
      <c r="I22" s="5">
        <v>0</v>
      </c>
    </row>
    <row r="23" spans="1:9" ht="22.5" customHeight="1" x14ac:dyDescent="0.25">
      <c r="A23" s="8">
        <v>21</v>
      </c>
      <c r="B23" s="5"/>
      <c r="C23" s="5"/>
      <c r="D23" s="8" t="str">
        <f>IF(ISNA(VLOOKUP(C23,Teamliste!$C$3:$D$32,2,FALSE)),"",VLOOKUP(C23,Teamliste!$C$3:$D$32,2,FALSE))</f>
        <v/>
      </c>
      <c r="E23" s="5"/>
      <c r="F23" s="9"/>
      <c r="G23" s="10">
        <f>H23-H3</f>
        <v>0</v>
      </c>
      <c r="H23" s="10"/>
      <c r="I23" s="5">
        <v>0</v>
      </c>
    </row>
    <row r="24" spans="1:9" ht="22.5" customHeight="1" x14ac:dyDescent="0.25">
      <c r="A24" s="8">
        <v>22</v>
      </c>
      <c r="B24" s="5"/>
      <c r="C24" s="5"/>
      <c r="D24" s="8" t="str">
        <f>IF(ISNA(VLOOKUP(C24,Teamliste!$C$3:$D$32,2,FALSE)),"",VLOOKUP(C24,Teamliste!$C$3:$D$32,2,FALSE))</f>
        <v/>
      </c>
      <c r="E24" s="5"/>
      <c r="F24" s="9"/>
      <c r="G24" s="10">
        <f>H24-H3</f>
        <v>0</v>
      </c>
      <c r="H24" s="10"/>
      <c r="I24" s="5">
        <v>0</v>
      </c>
    </row>
    <row r="25" spans="1:9" ht="22.5" customHeight="1" x14ac:dyDescent="0.25">
      <c r="A25" s="8">
        <v>23</v>
      </c>
      <c r="B25" s="5"/>
      <c r="C25" s="5"/>
      <c r="D25" s="8" t="str">
        <f>IF(ISNA(VLOOKUP(C25,Teamliste!$C$3:$D$32,2,FALSE)),"",VLOOKUP(C25,Teamliste!$C$3:$D$32,2,FALSE))</f>
        <v/>
      </c>
      <c r="E25" s="5"/>
      <c r="F25" s="9"/>
      <c r="G25" s="10">
        <f>H25-H3</f>
        <v>0</v>
      </c>
      <c r="H25" s="10"/>
      <c r="I25" s="5">
        <v>0</v>
      </c>
    </row>
    <row r="26" spans="1:9" ht="22.5" customHeight="1" x14ac:dyDescent="0.25">
      <c r="A26" s="8">
        <v>24</v>
      </c>
      <c r="B26" s="5"/>
      <c r="C26" s="5"/>
      <c r="D26" s="8" t="str">
        <f>IF(ISNA(VLOOKUP(C26,Teamliste!$C$3:$D$32,2,FALSE)),"",VLOOKUP(C26,Teamliste!$C$3:$D$32,2,FALSE))</f>
        <v/>
      </c>
      <c r="E26" s="5"/>
      <c r="F26" s="9"/>
      <c r="G26" s="10">
        <f>H26-H3</f>
        <v>0</v>
      </c>
      <c r="H26" s="10"/>
      <c r="I26" s="5">
        <v>0</v>
      </c>
    </row>
    <row r="30" spans="1:9" ht="22.5" customHeight="1" x14ac:dyDescent="0.25">
      <c r="I30" s="11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36</vt:i4>
      </vt:variant>
    </vt:vector>
  </HeadingPairs>
  <TitlesOfParts>
    <vt:vector size="36" baseType="lpstr">
      <vt:lpstr>Information</vt:lpstr>
      <vt:lpstr>Fahrerwertung</vt:lpstr>
      <vt:lpstr>Fahrerauswertung</vt:lpstr>
      <vt:lpstr>Teamliste</vt:lpstr>
      <vt:lpstr>Teamwertung</vt:lpstr>
      <vt:lpstr>Teamauswertung</vt:lpstr>
      <vt:lpstr>Rennen 1</vt:lpstr>
      <vt:lpstr>Rennen 2</vt:lpstr>
      <vt:lpstr>Rennen 3</vt:lpstr>
      <vt:lpstr>Rennen 4</vt:lpstr>
      <vt:lpstr>Rennen 5</vt:lpstr>
      <vt:lpstr>Rennen 6</vt:lpstr>
      <vt:lpstr>Rennen 7</vt:lpstr>
      <vt:lpstr>Rennen 8</vt:lpstr>
      <vt:lpstr>Rennen 9</vt:lpstr>
      <vt:lpstr>Rennen 10</vt:lpstr>
      <vt:lpstr>Rennen 11</vt:lpstr>
      <vt:lpstr>Rennen 12</vt:lpstr>
      <vt:lpstr>Rennen 13</vt:lpstr>
      <vt:lpstr>Rennen 14</vt:lpstr>
      <vt:lpstr>Rennen 15</vt:lpstr>
      <vt:lpstr>Rennen 16</vt:lpstr>
      <vt:lpstr>Rennen 17</vt:lpstr>
      <vt:lpstr>Rennen 18</vt:lpstr>
      <vt:lpstr>Rennen 19</vt:lpstr>
      <vt:lpstr>Rennen 20</vt:lpstr>
      <vt:lpstr>Rennen 21</vt:lpstr>
      <vt:lpstr>Rennen 22</vt:lpstr>
      <vt:lpstr>Rennen 23</vt:lpstr>
      <vt:lpstr>Rennen 24</vt:lpstr>
      <vt:lpstr>Rennen 25</vt:lpstr>
      <vt:lpstr>Rennen 26</vt:lpstr>
      <vt:lpstr>Rennen 27</vt:lpstr>
      <vt:lpstr>Rennen 28</vt:lpstr>
      <vt:lpstr>Rennen 29</vt:lpstr>
      <vt:lpstr>Rennen 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Kempkes</dc:creator>
  <cp:lastModifiedBy>Verde</cp:lastModifiedBy>
  <dcterms:created xsi:type="dcterms:W3CDTF">2016-07-31T15:06:04Z</dcterms:created>
  <dcterms:modified xsi:type="dcterms:W3CDTF">2016-08-15T20:22:08Z</dcterms:modified>
</cp:coreProperties>
</file>