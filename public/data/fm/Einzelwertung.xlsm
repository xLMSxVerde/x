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0490" windowHeight="7680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D32" i="1" s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7" i="1"/>
  <c r="M17" i="1"/>
  <c r="L17" i="1"/>
  <c r="K17" i="1"/>
  <c r="J17" i="1"/>
  <c r="I17" i="1"/>
  <c r="H17" i="1"/>
  <c r="G17" i="1"/>
  <c r="F17" i="1"/>
  <c r="E17" i="1"/>
  <c r="N16" i="1"/>
  <c r="M16" i="1"/>
  <c r="L16" i="1"/>
  <c r="K16" i="1"/>
  <c r="J16" i="1"/>
  <c r="I16" i="1"/>
  <c r="H16" i="1"/>
  <c r="G16" i="1"/>
  <c r="F16" i="1"/>
  <c r="E16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N10" i="1"/>
  <c r="M10" i="1"/>
  <c r="L10" i="1"/>
  <c r="K10" i="1"/>
  <c r="J10" i="1"/>
  <c r="I10" i="1"/>
  <c r="H10" i="1"/>
  <c r="G10" i="1"/>
  <c r="F10" i="1"/>
  <c r="E10" i="1"/>
  <c r="D10" i="1" s="1"/>
  <c r="N6" i="1"/>
  <c r="M6" i="1"/>
  <c r="L6" i="1"/>
  <c r="K6" i="1"/>
  <c r="J6" i="1"/>
  <c r="I6" i="1"/>
  <c r="H6" i="1"/>
  <c r="G6" i="1"/>
  <c r="F6" i="1"/>
  <c r="E6" i="1"/>
  <c r="N5" i="1"/>
  <c r="M5" i="1"/>
  <c r="L5" i="1"/>
  <c r="K5" i="1"/>
  <c r="J5" i="1"/>
  <c r="I5" i="1"/>
  <c r="H5" i="1"/>
  <c r="G5" i="1"/>
  <c r="F5" i="1"/>
  <c r="D5" i="1" s="1"/>
  <c r="E5" i="1"/>
  <c r="N9" i="1"/>
  <c r="M9" i="1"/>
  <c r="L9" i="1"/>
  <c r="K9" i="1"/>
  <c r="J9" i="1"/>
  <c r="I9" i="1"/>
  <c r="H9" i="1"/>
  <c r="G9" i="1"/>
  <c r="F9" i="1"/>
  <c r="E9" i="1"/>
  <c r="N8" i="1"/>
  <c r="M8" i="1"/>
  <c r="L8" i="1"/>
  <c r="K8" i="1"/>
  <c r="J8" i="1"/>
  <c r="I8" i="1"/>
  <c r="H8" i="1"/>
  <c r="G8" i="1"/>
  <c r="F8" i="1"/>
  <c r="E8" i="1"/>
  <c r="N3" i="1"/>
  <c r="M3" i="1"/>
  <c r="L3" i="1"/>
  <c r="K3" i="1"/>
  <c r="J3" i="1"/>
  <c r="I3" i="1"/>
  <c r="H3" i="1"/>
  <c r="G3" i="1"/>
  <c r="F3" i="1"/>
  <c r="E3" i="1"/>
  <c r="N4" i="1"/>
  <c r="M4" i="1"/>
  <c r="L4" i="1"/>
  <c r="K4" i="1"/>
  <c r="J4" i="1"/>
  <c r="I4" i="1"/>
  <c r="H4" i="1"/>
  <c r="G4" i="1"/>
  <c r="F4" i="1"/>
  <c r="D4" i="1" s="1"/>
  <c r="E4" i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3" i="1" l="1"/>
  <c r="D27" i="1"/>
  <c r="D31" i="1"/>
  <c r="D9" i="1"/>
  <c r="D6" i="1"/>
  <c r="D13" i="1"/>
  <c r="D7" i="1"/>
  <c r="D19" i="1"/>
  <c r="D22" i="1"/>
  <c r="D24" i="1"/>
  <c r="D30" i="1"/>
  <c r="D23" i="1"/>
  <c r="D8" i="1"/>
  <c r="D11" i="1"/>
  <c r="D14" i="1"/>
  <c r="D12" i="1"/>
  <c r="D16" i="1"/>
  <c r="D18" i="1"/>
  <c r="D20" i="1"/>
  <c r="D26" i="1"/>
  <c r="D28" i="1"/>
  <c r="D15" i="1"/>
  <c r="D17" i="1"/>
  <c r="D21" i="1"/>
  <c r="D25" i="1"/>
  <c r="D29" i="1"/>
</calcChain>
</file>

<file path=xl/sharedStrings.xml><?xml version="1.0" encoding="utf-8"?>
<sst xmlns="http://schemas.openxmlformats.org/spreadsheetml/2006/main" count="194" uniqueCount="53">
  <si>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</si>
  <si>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</si>
  <si>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</si>
  <si>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</si>
  <si>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</si>
  <si>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</si>
  <si>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</si>
  <si>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</si>
  <si>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</si>
  <si>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</si>
  <si>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</si>
  <si>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</si>
  <si>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</si>
  <si>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</si>
  <si>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</si>
  <si>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</si>
  <si>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</si>
  <si>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</si>
  <si>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</si>
  <si>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</si>
  <si>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</si>
  <si>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</si>
  <si>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</si>
  <si>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</si>
  <si>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Rennen 1</t>
  </si>
  <si>
    <t>Rennen 2</t>
  </si>
  <si>
    <t>Rennen 3</t>
  </si>
  <si>
    <t>Rennen 4</t>
  </si>
  <si>
    <t>Rennen 5</t>
  </si>
  <si>
    <t>Rennen 6</t>
  </si>
  <si>
    <t>Titel</t>
  </si>
  <si>
    <t>Fahrzeuge</t>
  </si>
  <si>
    <t>Setup</t>
  </si>
  <si>
    <t>Regeln</t>
  </si>
  <si>
    <t>Punktesystem</t>
  </si>
  <si>
    <t>Rahmenbedingungen</t>
  </si>
  <si>
    <t>Rennen 7</t>
  </si>
  <si>
    <t>Rennen 8</t>
  </si>
  <si>
    <t>Rennen 9</t>
  </si>
  <si>
    <t>Rennen 10</t>
  </si>
  <si>
    <t>DNF</t>
  </si>
  <si>
    <t>Regel1</t>
  </si>
  <si>
    <t>Regel2</t>
  </si>
  <si>
    <t>Porsche Cup</t>
  </si>
  <si>
    <t>Uhrzeit/Tag</t>
  </si>
  <si>
    <t>20:30-22:30</t>
  </si>
  <si>
    <t>Freitag</t>
  </si>
  <si>
    <t>2014 Porsche Turbo</t>
  </si>
  <si>
    <t>Setup von GSR tobination</t>
  </si>
  <si>
    <t>25-20-16-13-11-10-9-8-7-6-5-4-3-2-1</t>
  </si>
  <si>
    <t>Warmup: 3 Runden</t>
  </si>
  <si>
    <t>Quali 2 Runden</t>
  </si>
  <si>
    <t>Das Benutzen und Fahren mit Kupplung ist untersagt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</si>
</sst>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E8"/>
  <sheetViews>
    <sheetView tabSelected="1" workbookViewId="0">
      <selection activeCell="E13" sqref="E13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5" x14ac:dyDescent="0.25">
      <c r="B2" t="s">
        <v>30</v>
      </c>
      <c r="C2" t="s">
        <v>43</v>
      </c>
    </row>
    <row r="3" spans="2:5" x14ac:dyDescent="0.25">
      <c r="B3" t="s">
        <v>44</v>
      </c>
      <c r="C3" t="s">
        <v>45</v>
      </c>
      <c r="D3" t="s">
        <v>46</v>
      </c>
    </row>
    <row r="4" spans="2:5" x14ac:dyDescent="0.25">
      <c r="B4" t="s">
        <v>31</v>
      </c>
      <c r="C4" t="s">
        <v>47</v>
      </c>
    </row>
    <row r="5" spans="2:5" x14ac:dyDescent="0.25">
      <c r="B5" t="s">
        <v>32</v>
      </c>
      <c r="C5" t="s">
        <v>48</v>
      </c>
    </row>
    <row r="6" spans="2:5" x14ac:dyDescent="0.25">
      <c r="B6" t="s">
        <v>33</v>
      </c>
      <c r="C6" t="s">
        <v>41</v>
      </c>
      <c r="D6" t="s">
        <v>42</v>
      </c>
    </row>
    <row r="7" spans="2:5" x14ac:dyDescent="0.25">
      <c r="B7" t="s">
        <v>34</v>
      </c>
      <c r="C7" t="s">
        <v>49</v>
      </c>
    </row>
    <row r="8" spans="2:5" x14ac:dyDescent="0.25">
      <c r="B8" t="s">
        <v>35</v>
      </c>
      <c r="C8" t="s">
        <v>50</v>
      </c>
      <c r="D8" t="s">
        <v>51</v>
      </c>
      <c r="E8" t="s">
        <v>52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workbookViewId="0">
      <selection activeCell="O2" sqref="O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36</v>
      </c>
      <c r="L2" t="s">
        <v>37</v>
      </c>
      <c r="M2" t="s">
        <v>38</v>
      </c>
      <c r="N2" t="s">
        <v>39</v>
      </c>
    </row>
    <row r="3" spans="2:14" x14ac:dyDescent="0.25">
      <c r="B3">
        <v>1</v>
      </c>
      <c r="C3" t="s">
        <v>4</v>
      </c>
      <c r="D3">
        <f t="shared" ref="D3:D32" si="0">SUM(E3:Z3)</f>
        <v>51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3</v>
      </c>
      <c r="D4">
        <f t="shared" si="0"/>
        <v>41</v>
      </c>
      <c r="E4" s="1">
        <f>IF(ISNA(VLOOKUP(C4,'Rennen 1'!$C$3:$I$26,7,FALSE)),"-",VLOOKUP(C4,'Rennen 1'!$C$3:$I$26,7,FALSE))</f>
        <v>25</v>
      </c>
      <c r="F4" s="1" t="str">
        <f>IF(ISNA(VLOOKUP(C4,'Rennen 2'!$C$3:$I$26,7,FALSE)),"-",VLOOKUP(C4,'Rennen 2'!$C$3:$I$26,7,FALSE))</f>
        <v>-</v>
      </c>
      <c r="G4" s="1">
        <f>IF(ISNA(VLOOKUP(C4,'Rennen 3'!$C$3:$I$26,7,FALSE)),"-",VLOOKUP(C4,'Rennen 3'!$C$3:$I$26,7,FALSE))</f>
        <v>16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7</v>
      </c>
      <c r="D5">
        <f t="shared" si="0"/>
        <v>38</v>
      </c>
      <c r="E5" s="1">
        <f>IF(ISNA(VLOOKUP(C5,'Rennen 1'!$C$3:$I$26,7,FALSE)),"-",VLOOKUP(C5,'Rennen 1'!$C$3:$I$26,7,FALSE))</f>
        <v>11</v>
      </c>
      <c r="F5" s="1">
        <f>IF(ISNA(VLOOKUP(C5,'Rennen 2'!$C$3:$I$26,7,FALSE)),"-",VLOOKUP(C5,'Rennen 2'!$C$3:$I$26,7,FALSE))</f>
        <v>16</v>
      </c>
      <c r="G5" s="1">
        <f>IF(ISNA(VLOOKUP(C5,'Rennen 3'!$C$3:$I$26,7,FALSE)),"-",VLOOKUP(C5,'Rennen 3'!$C$3:$I$26,7,FALSE))</f>
        <v>11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 t="shared" si="0"/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 t="shared" si="0"/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12</v>
      </c>
      <c r="D14">
        <f t="shared" si="0"/>
        <v>15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13</v>
      </c>
      <c r="D15">
        <f t="shared" si="0"/>
        <v>10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A2" sqref="A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36</v>
      </c>
      <c r="L2" t="s">
        <v>37</v>
      </c>
      <c r="M2" t="s">
        <v>38</v>
      </c>
      <c r="N2" t="s">
        <v>39</v>
      </c>
    </row>
    <row r="3" spans="2:15" x14ac:dyDescent="0.25">
      <c r="B3">
        <v>1</v>
      </c>
      <c r="C3" t="s">
        <v>3</v>
      </c>
      <c r="D3">
        <f>SUM(E3:Z3)</f>
        <v>41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38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26"/>
  <sheetViews>
    <sheetView workbookViewId="0">
      <selection activeCell="A8" sqref="A8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3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I14">
        <v>0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40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2016-08-04T09:21:09Z</dcterms:modified>
</cp:coreProperties>
</file>