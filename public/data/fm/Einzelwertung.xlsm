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0490" windowHeight="7680"/>
  </bookViews>
  <sheets>
    <sheet name="Information" sheetId="14" r:id="rId1"/>
    <sheet name="Fahrerwertung" sheetId="1" r:id="rId2"/>
    <sheet name="Fahrerauswertung" sheetId="13" r:id="rId3"/>
    <sheet name="Teamwertung" sheetId="12" r:id="rId4"/>
    <sheet name="Rennen 1" sheetId="2" r:id="rId5"/>
    <sheet name="Rennen 2" sheetId="3" r:id="rId6"/>
    <sheet name="Rennen 3" sheetId="4" r:id="rId7"/>
    <sheet name="Rennen 4" sheetId="5" r:id="rId8"/>
    <sheet name="Rennen 5" sheetId="6" r:id="rId9"/>
    <sheet name="Rennen 6" sheetId="7" r:id="rId10"/>
    <sheet name="Rennen 7" sheetId="8" r:id="rId11"/>
    <sheet name="Rennen 8" sheetId="9" r:id="rId12"/>
    <sheet name="Rennen 9" sheetId="10" r:id="rId13"/>
    <sheet name="Rennen 10" sheetId="11" r:id="rId14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2" i="1" l="1"/>
  <c r="M32" i="1"/>
  <c r="L32" i="1"/>
  <c r="K32" i="1"/>
  <c r="J32" i="1"/>
  <c r="I32" i="1"/>
  <c r="H32" i="1"/>
  <c r="G32" i="1"/>
  <c r="D32" i="1" s="1"/>
  <c r="F32" i="1"/>
  <c r="E32" i="1"/>
  <c r="N31" i="1"/>
  <c r="M31" i="1"/>
  <c r="L31" i="1"/>
  <c r="K31" i="1"/>
  <c r="J31" i="1"/>
  <c r="I31" i="1"/>
  <c r="H31" i="1"/>
  <c r="G31" i="1"/>
  <c r="F31" i="1"/>
  <c r="E31" i="1"/>
  <c r="N30" i="1"/>
  <c r="M30" i="1"/>
  <c r="L30" i="1"/>
  <c r="K30" i="1"/>
  <c r="J30" i="1"/>
  <c r="I30" i="1"/>
  <c r="H30" i="1"/>
  <c r="G30" i="1"/>
  <c r="F30" i="1"/>
  <c r="E30" i="1"/>
  <c r="N29" i="1"/>
  <c r="M29" i="1"/>
  <c r="L29" i="1"/>
  <c r="K29" i="1"/>
  <c r="J29" i="1"/>
  <c r="I29" i="1"/>
  <c r="H29" i="1"/>
  <c r="G29" i="1"/>
  <c r="F29" i="1"/>
  <c r="E29" i="1"/>
  <c r="N28" i="1"/>
  <c r="M28" i="1"/>
  <c r="L28" i="1"/>
  <c r="K28" i="1"/>
  <c r="J28" i="1"/>
  <c r="I28" i="1"/>
  <c r="H28" i="1"/>
  <c r="G28" i="1"/>
  <c r="F28" i="1"/>
  <c r="E28" i="1"/>
  <c r="N27" i="1"/>
  <c r="M27" i="1"/>
  <c r="L27" i="1"/>
  <c r="K27" i="1"/>
  <c r="J27" i="1"/>
  <c r="I27" i="1"/>
  <c r="H27" i="1"/>
  <c r="G27" i="1"/>
  <c r="F27" i="1"/>
  <c r="E27" i="1"/>
  <c r="N26" i="1"/>
  <c r="M26" i="1"/>
  <c r="L26" i="1"/>
  <c r="K26" i="1"/>
  <c r="J26" i="1"/>
  <c r="I26" i="1"/>
  <c r="H26" i="1"/>
  <c r="G26" i="1"/>
  <c r="F26" i="1"/>
  <c r="E26" i="1"/>
  <c r="N25" i="1"/>
  <c r="M25" i="1"/>
  <c r="L25" i="1"/>
  <c r="K25" i="1"/>
  <c r="J25" i="1"/>
  <c r="I25" i="1"/>
  <c r="H25" i="1"/>
  <c r="G25" i="1"/>
  <c r="F25" i="1"/>
  <c r="E25" i="1"/>
  <c r="N24" i="1"/>
  <c r="M24" i="1"/>
  <c r="L24" i="1"/>
  <c r="K24" i="1"/>
  <c r="J24" i="1"/>
  <c r="I24" i="1"/>
  <c r="H24" i="1"/>
  <c r="G24" i="1"/>
  <c r="F24" i="1"/>
  <c r="E24" i="1"/>
  <c r="N23" i="1"/>
  <c r="M23" i="1"/>
  <c r="L23" i="1"/>
  <c r="K23" i="1"/>
  <c r="J23" i="1"/>
  <c r="I23" i="1"/>
  <c r="H23" i="1"/>
  <c r="G23" i="1"/>
  <c r="F23" i="1"/>
  <c r="E23" i="1"/>
  <c r="N22" i="1"/>
  <c r="M22" i="1"/>
  <c r="L22" i="1"/>
  <c r="K22" i="1"/>
  <c r="J22" i="1"/>
  <c r="I22" i="1"/>
  <c r="H22" i="1"/>
  <c r="G22" i="1"/>
  <c r="F22" i="1"/>
  <c r="E22" i="1"/>
  <c r="N21" i="1"/>
  <c r="M21" i="1"/>
  <c r="L21" i="1"/>
  <c r="K21" i="1"/>
  <c r="J21" i="1"/>
  <c r="I21" i="1"/>
  <c r="H21" i="1"/>
  <c r="G21" i="1"/>
  <c r="F21" i="1"/>
  <c r="E21" i="1"/>
  <c r="N20" i="1"/>
  <c r="M20" i="1"/>
  <c r="L20" i="1"/>
  <c r="K20" i="1"/>
  <c r="J20" i="1"/>
  <c r="I20" i="1"/>
  <c r="H20" i="1"/>
  <c r="G20" i="1"/>
  <c r="F20" i="1"/>
  <c r="E20" i="1"/>
  <c r="N19" i="1"/>
  <c r="M19" i="1"/>
  <c r="L19" i="1"/>
  <c r="K19" i="1"/>
  <c r="J19" i="1"/>
  <c r="I19" i="1"/>
  <c r="H19" i="1"/>
  <c r="G19" i="1"/>
  <c r="F19" i="1"/>
  <c r="E19" i="1"/>
  <c r="N18" i="1"/>
  <c r="M18" i="1"/>
  <c r="L18" i="1"/>
  <c r="K18" i="1"/>
  <c r="J18" i="1"/>
  <c r="I18" i="1"/>
  <c r="H18" i="1"/>
  <c r="G18" i="1"/>
  <c r="F18" i="1"/>
  <c r="E18" i="1"/>
  <c r="N17" i="1"/>
  <c r="M17" i="1"/>
  <c r="L17" i="1"/>
  <c r="K17" i="1"/>
  <c r="J17" i="1"/>
  <c r="I17" i="1"/>
  <c r="H17" i="1"/>
  <c r="G17" i="1"/>
  <c r="F17" i="1"/>
  <c r="E17" i="1"/>
  <c r="N16" i="1"/>
  <c r="M16" i="1"/>
  <c r="L16" i="1"/>
  <c r="K16" i="1"/>
  <c r="J16" i="1"/>
  <c r="I16" i="1"/>
  <c r="H16" i="1"/>
  <c r="G16" i="1"/>
  <c r="F16" i="1"/>
  <c r="E16" i="1"/>
  <c r="N7" i="1"/>
  <c r="M7" i="1"/>
  <c r="L7" i="1"/>
  <c r="K7" i="1"/>
  <c r="J7" i="1"/>
  <c r="I7" i="1"/>
  <c r="H7" i="1"/>
  <c r="G7" i="1"/>
  <c r="F7" i="1"/>
  <c r="E7" i="1"/>
  <c r="N12" i="1"/>
  <c r="M12" i="1"/>
  <c r="L12" i="1"/>
  <c r="K12" i="1"/>
  <c r="J12" i="1"/>
  <c r="I12" i="1"/>
  <c r="H12" i="1"/>
  <c r="G12" i="1"/>
  <c r="F12" i="1"/>
  <c r="E12" i="1"/>
  <c r="N15" i="1"/>
  <c r="M15" i="1"/>
  <c r="L15" i="1"/>
  <c r="K15" i="1"/>
  <c r="J15" i="1"/>
  <c r="I15" i="1"/>
  <c r="H15" i="1"/>
  <c r="G15" i="1"/>
  <c r="F15" i="1"/>
  <c r="E15" i="1"/>
  <c r="N14" i="1"/>
  <c r="M14" i="1"/>
  <c r="L14" i="1"/>
  <c r="K14" i="1"/>
  <c r="J14" i="1"/>
  <c r="I14" i="1"/>
  <c r="H14" i="1"/>
  <c r="G14" i="1"/>
  <c r="F14" i="1"/>
  <c r="E14" i="1"/>
  <c r="N13" i="1"/>
  <c r="M13" i="1"/>
  <c r="L13" i="1"/>
  <c r="K13" i="1"/>
  <c r="J13" i="1"/>
  <c r="I13" i="1"/>
  <c r="H13" i="1"/>
  <c r="G13" i="1"/>
  <c r="F13" i="1"/>
  <c r="E13" i="1"/>
  <c r="N11" i="1"/>
  <c r="M11" i="1"/>
  <c r="L11" i="1"/>
  <c r="K11" i="1"/>
  <c r="J11" i="1"/>
  <c r="I11" i="1"/>
  <c r="H11" i="1"/>
  <c r="G11" i="1"/>
  <c r="F11" i="1"/>
  <c r="E11" i="1"/>
  <c r="N10" i="1"/>
  <c r="M10" i="1"/>
  <c r="L10" i="1"/>
  <c r="K10" i="1"/>
  <c r="J10" i="1"/>
  <c r="I10" i="1"/>
  <c r="H10" i="1"/>
  <c r="G10" i="1"/>
  <c r="F10" i="1"/>
  <c r="E10" i="1"/>
  <c r="D10" i="1" s="1"/>
  <c r="N6" i="1"/>
  <c r="M6" i="1"/>
  <c r="L6" i="1"/>
  <c r="K6" i="1"/>
  <c r="J6" i="1"/>
  <c r="I6" i="1"/>
  <c r="H6" i="1"/>
  <c r="G6" i="1"/>
  <c r="F6" i="1"/>
  <c r="E6" i="1"/>
  <c r="N5" i="1"/>
  <c r="M5" i="1"/>
  <c r="L5" i="1"/>
  <c r="K5" i="1"/>
  <c r="J5" i="1"/>
  <c r="I5" i="1"/>
  <c r="H5" i="1"/>
  <c r="G5" i="1"/>
  <c r="F5" i="1"/>
  <c r="D5" i="1" s="1"/>
  <c r="E5" i="1"/>
  <c r="N9" i="1"/>
  <c r="M9" i="1"/>
  <c r="L9" i="1"/>
  <c r="K9" i="1"/>
  <c r="J9" i="1"/>
  <c r="I9" i="1"/>
  <c r="H9" i="1"/>
  <c r="G9" i="1"/>
  <c r="F9" i="1"/>
  <c r="E9" i="1"/>
  <c r="N8" i="1"/>
  <c r="M8" i="1"/>
  <c r="L8" i="1"/>
  <c r="K8" i="1"/>
  <c r="J8" i="1"/>
  <c r="I8" i="1"/>
  <c r="H8" i="1"/>
  <c r="G8" i="1"/>
  <c r="F8" i="1"/>
  <c r="E8" i="1"/>
  <c r="N3" i="1"/>
  <c r="M3" i="1"/>
  <c r="L3" i="1"/>
  <c r="K3" i="1"/>
  <c r="J3" i="1"/>
  <c r="I3" i="1"/>
  <c r="H3" i="1"/>
  <c r="G3" i="1"/>
  <c r="F3" i="1"/>
  <c r="E3" i="1"/>
  <c r="N4" i="1"/>
  <c r="M4" i="1"/>
  <c r="L4" i="1"/>
  <c r="K4" i="1"/>
  <c r="J4" i="1"/>
  <c r="I4" i="1"/>
  <c r="H4" i="1"/>
  <c r="G4" i="1"/>
  <c r="F4" i="1"/>
  <c r="D4" i="1" s="1"/>
  <c r="E4" i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" i="13"/>
  <c r="N4" i="13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3" i="1" l="1"/>
  <c r="D27" i="1"/>
  <c r="D31" i="1"/>
  <c r="D9" i="1"/>
  <c r="D6" i="1"/>
  <c r="D13" i="1"/>
  <c r="D7" i="1"/>
  <c r="D19" i="1"/>
  <c r="D22" i="1"/>
  <c r="D24" i="1"/>
  <c r="D30" i="1"/>
  <c r="D23" i="1"/>
  <c r="D8" i="1"/>
  <c r="D11" i="1"/>
  <c r="D14" i="1"/>
  <c r="D12" i="1"/>
  <c r="D16" i="1"/>
  <c r="D18" i="1"/>
  <c r="D20" i="1"/>
  <c r="D26" i="1"/>
  <c r="D28" i="1"/>
  <c r="D15" i="1"/>
  <c r="D17" i="1"/>
  <c r="D21" i="1"/>
  <c r="D25" i="1"/>
  <c r="D29" i="1"/>
</calcChain>
</file>

<file path=xl/sharedStrings.xml><?xml version="1.0" encoding="utf-8"?>
<sst xmlns="http://schemas.openxmlformats.org/spreadsheetml/2006/main" count="199" uniqueCount="58">
  <si>
    <t>Position</t>
  </si>
  <si>
    <t>Fahrer</t>
  </si>
  <si>
    <t>Punkte</t>
  </si>
  <si>
    <t>CHRISSI VfB</t>
  </si>
  <si>
    <t>GSR Norbi</t>
  </si>
  <si>
    <t>GSR HAYABUSA</t>
  </si>
  <si>
    <t>GSR GecKo</t>
  </si>
  <si>
    <t>SPisch</t>
  </si>
  <si>
    <t>GSR tobination</t>
  </si>
  <si>
    <t>GSR Phantom</t>
  </si>
  <si>
    <t>xRaptus DC</t>
  </si>
  <si>
    <t>GSR Agroh3knie</t>
  </si>
  <si>
    <t>o GSR STOCK o</t>
  </si>
  <si>
    <t>Pegasusstar639</t>
  </si>
  <si>
    <t>eGo Road Runner</t>
  </si>
  <si>
    <t>HNT ricco293</t>
  </si>
  <si>
    <t>Explosivo93</t>
  </si>
  <si>
    <t>xLMS Verde</t>
  </si>
  <si>
    <t>GSR RKC75</t>
  </si>
  <si>
    <t>Team</t>
  </si>
  <si>
    <t>Auto</t>
  </si>
  <si>
    <t>Beste</t>
  </si>
  <si>
    <t>Gesamt</t>
  </si>
  <si>
    <t>Abstand</t>
  </si>
  <si>
    <t>Rennen 1</t>
  </si>
  <si>
    <t>Rennen 2</t>
  </si>
  <si>
    <t>Rennen 3</t>
  </si>
  <si>
    <t>Rennen 4</t>
  </si>
  <si>
    <t>Rennen 5</t>
  </si>
  <si>
    <t>Rennen 6</t>
  </si>
  <si>
    <t>Titel</t>
  </si>
  <si>
    <t>Datum/Uhrzeit</t>
  </si>
  <si>
    <t>Fahrzeuge</t>
  </si>
  <si>
    <t>Setup</t>
  </si>
  <si>
    <t>Regeln</t>
  </si>
  <si>
    <t>Punktesystem</t>
  </si>
  <si>
    <t>Rahmenbedingungen</t>
  </si>
  <si>
    <t>Rennen 7</t>
  </si>
  <si>
    <t>Rennen 8</t>
  </si>
  <si>
    <t>Rennen 9</t>
  </si>
  <si>
    <t>Rennen 10</t>
  </si>
  <si>
    <t>DNF</t>
  </si>
  <si>
    <t>Testtitel</t>
  </si>
  <si>
    <t>Uhrzeit</t>
  </si>
  <si>
    <t>Tag</t>
  </si>
  <si>
    <t>TestAuto1</t>
  </si>
  <si>
    <t>TestAuto2</t>
  </si>
  <si>
    <t>Setup1</t>
  </si>
  <si>
    <t>Setup2</t>
  </si>
  <si>
    <t>Regel1</t>
  </si>
  <si>
    <t>Regel2</t>
  </si>
  <si>
    <t>25-17-15-2</t>
  </si>
  <si>
    <t>Bed1</t>
  </si>
  <si>
    <t>Bed2</t>
  </si>
  <si>
    <t>Bed3</t>
  </si>
  <si>
    <t>Bed4</t>
  </si>
  <si>
    <t>Test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</si>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</sst>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AA8"/>
  <sheetViews>
    <sheetView tabSelected="1" workbookViewId="0">
      <selection activeCell="E4" sqref="E4"/>
    </sheetView>
  </sheetViews>
  <sheetFormatPr baseColWidth="10" defaultColWidth="23" defaultRowHeight="15" x14ac:dyDescent="0.25"/>
  <cols>
    <col min="1" max="1" width="9.85546875" customWidth="1"/>
  </cols>
  <sheetData>
    <row r="2" spans="2:27" x14ac:dyDescent="0.25">
      <c r="B2" t="s">
        <v>30</v>
      </c>
      <c r="C2" t="s">
        <v>42</v>
      </c>
      <c r="AA2" t="s">
        <v>56</v>
      </c>
    </row>
    <row r="3" spans="2:27" x14ac:dyDescent="0.25">
      <c r="B3" t="s">
        <v>31</v>
      </c>
      <c r="C3" t="s">
        <v>43</v>
      </c>
      <c r="D3" t="s">
        <v>44</v>
      </c>
    </row>
    <row r="4" spans="2:27" x14ac:dyDescent="0.25">
      <c r="B4" t="s">
        <v>32</v>
      </c>
      <c r="C4" t="s">
        <v>45</v>
      </c>
      <c r="D4" t="s">
        <v>46</v>
      </c>
      <c r="E4" t="s">
        <v>57</v>
      </c>
    </row>
    <row r="5" spans="2:27" x14ac:dyDescent="0.25">
      <c r="B5" t="s">
        <v>33</v>
      </c>
      <c r="C5" t="s">
        <v>47</v>
      </c>
      <c r="D5" t="s">
        <v>48</v>
      </c>
    </row>
    <row r="6" spans="2:27" x14ac:dyDescent="0.25">
      <c r="B6" t="s">
        <v>34</v>
      </c>
      <c r="C6" t="s">
        <v>49</v>
      </c>
      <c r="D6" t="s">
        <v>50</v>
      </c>
    </row>
    <row r="7" spans="2:27" x14ac:dyDescent="0.25">
      <c r="B7" t="s">
        <v>35</v>
      </c>
      <c r="C7" t="s">
        <v>51</v>
      </c>
    </row>
    <row r="8" spans="2:27" x14ac:dyDescent="0.25">
      <c r="B8" t="s">
        <v>36</v>
      </c>
      <c r="C8" t="s">
        <v>52</v>
      </c>
      <c r="D8" t="s">
        <v>53</v>
      </c>
      <c r="E8" t="s">
        <v>54</v>
      </c>
      <c r="F8" t="s">
        <v>55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N32"/>
  <sheetViews>
    <sheetView workbookViewId="0">
      <selection activeCell="O2" sqref="O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4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37</v>
      </c>
      <c r="L2" t="s">
        <v>38</v>
      </c>
      <c r="M2" t="s">
        <v>39</v>
      </c>
      <c r="N2" t="s">
        <v>40</v>
      </c>
    </row>
    <row r="3" spans="2:14" x14ac:dyDescent="0.25">
      <c r="B3">
        <v>1</v>
      </c>
      <c r="C3" t="s">
        <v>4</v>
      </c>
      <c r="D3">
        <f t="shared" ref="D3:D32" si="0">SUM(E3:Z3)</f>
        <v>51</v>
      </c>
      <c r="E3" s="1">
        <f>IF(ISNA(VLOOKUP(C3,'Rennen 1'!$C$3:$I$26,7,FALSE)),"-",VLOOKUP(C3,'Rennen 1'!$C$3:$I$26,7,FALSE))</f>
        <v>20</v>
      </c>
      <c r="F3" s="1">
        <f>IF(ISNA(VLOOKUP(C3,'Rennen 2'!$C$3:$I$26,7,FALSE)),"-",VLOOKUP(C3,'Rennen 2'!$C$3:$I$26,7,FALSE))</f>
        <v>11</v>
      </c>
      <c r="G3" s="1">
        <f>IF(ISNA(VLOOKUP(C3,'Rennen 3'!$C$3:$I$26,7,FALSE)),"-",VLOOKUP(C3,'Rennen 3'!$C$3:$I$26,7,FALSE))</f>
        <v>20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</row>
    <row r="4" spans="2:14" x14ac:dyDescent="0.25">
      <c r="B4">
        <v>2</v>
      </c>
      <c r="C4" t="s">
        <v>3</v>
      </c>
      <c r="D4">
        <f t="shared" si="0"/>
        <v>41</v>
      </c>
      <c r="E4" s="1">
        <f>IF(ISNA(VLOOKUP(C4,'Rennen 1'!$C$3:$I$26,7,FALSE)),"-",VLOOKUP(C4,'Rennen 1'!$C$3:$I$26,7,FALSE))</f>
        <v>25</v>
      </c>
      <c r="F4" s="1" t="str">
        <f>IF(ISNA(VLOOKUP(C4,'Rennen 2'!$C$3:$I$26,7,FALSE)),"-",VLOOKUP(C4,'Rennen 2'!$C$3:$I$26,7,FALSE))</f>
        <v>-</v>
      </c>
      <c r="G4" s="1">
        <f>IF(ISNA(VLOOKUP(C4,'Rennen 3'!$C$3:$I$26,7,FALSE)),"-",VLOOKUP(C4,'Rennen 3'!$C$3:$I$26,7,FALSE))</f>
        <v>16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</row>
    <row r="5" spans="2:14" x14ac:dyDescent="0.25">
      <c r="B5">
        <v>3</v>
      </c>
      <c r="C5" t="s">
        <v>7</v>
      </c>
      <c r="D5">
        <f t="shared" si="0"/>
        <v>38</v>
      </c>
      <c r="E5" s="1">
        <f>IF(ISNA(VLOOKUP(C5,'Rennen 1'!$C$3:$I$26,7,FALSE)),"-",VLOOKUP(C5,'Rennen 1'!$C$3:$I$26,7,FALSE))</f>
        <v>11</v>
      </c>
      <c r="F5" s="1">
        <f>IF(ISNA(VLOOKUP(C5,'Rennen 2'!$C$3:$I$26,7,FALSE)),"-",VLOOKUP(C5,'Rennen 2'!$C$3:$I$26,7,FALSE))</f>
        <v>16</v>
      </c>
      <c r="G5" s="1">
        <f>IF(ISNA(VLOOKUP(C5,'Rennen 3'!$C$3:$I$26,7,FALSE)),"-",VLOOKUP(C5,'Rennen 3'!$C$3:$I$26,7,FALSE))</f>
        <v>11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</row>
    <row r="6" spans="2:14" x14ac:dyDescent="0.25">
      <c r="B6">
        <v>4</v>
      </c>
      <c r="C6" t="s">
        <v>8</v>
      </c>
      <c r="D6">
        <f t="shared" si="0"/>
        <v>38</v>
      </c>
      <c r="E6" s="1">
        <f>IF(ISNA(VLOOKUP(C6,'Rennen 1'!$C$3:$I$26,7,FALSE)),"-",VLOOKUP(C6,'Rennen 1'!$C$3:$I$26,7,FALSE))</f>
        <v>10</v>
      </c>
      <c r="F6" s="1">
        <f>IF(ISNA(VLOOKUP(C6,'Rennen 2'!$C$3:$I$26,7,FALSE)),"-",VLOOKUP(C6,'Rennen 2'!$C$3:$I$26,7,FALSE))</f>
        <v>20</v>
      </c>
      <c r="G6" s="1">
        <f>IF(ISNA(VLOOKUP(C6,'Rennen 3'!$C$3:$I$26,7,FALSE)),"-",VLOOKUP(C6,'Rennen 3'!$C$3:$I$26,7,FALSE))</f>
        <v>8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</row>
    <row r="7" spans="2:14" x14ac:dyDescent="0.25">
      <c r="B7">
        <v>5</v>
      </c>
      <c r="C7" t="s">
        <v>15</v>
      </c>
      <c r="D7">
        <f t="shared" si="0"/>
        <v>38</v>
      </c>
      <c r="E7" s="1" t="str">
        <f>IF(ISNA(VLOOKUP(C7,'Rennen 1'!$C$3:$I$26,7,FALSE)),"-",VLOOKUP(C7,'Rennen 1'!$C$3:$I$26,7,FALSE))</f>
        <v>-</v>
      </c>
      <c r="F7" s="1">
        <f>IF(ISNA(VLOOKUP(C7,'Rennen 2'!$C$3:$I$26,7,FALSE)),"-",VLOOKUP(C7,'Rennen 2'!$C$3:$I$26,7,FALSE))</f>
        <v>13</v>
      </c>
      <c r="G7" s="1">
        <f>IF(ISNA(VLOOKUP(C7,'Rennen 3'!$C$3:$I$26,7,FALSE)),"-",VLOOKUP(C7,'Rennen 3'!$C$3:$I$26,7,FALSE))</f>
        <v>25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</row>
    <row r="8" spans="2:14" x14ac:dyDescent="0.25">
      <c r="B8">
        <v>6</v>
      </c>
      <c r="C8" t="s">
        <v>5</v>
      </c>
      <c r="D8">
        <f t="shared" si="0"/>
        <v>33</v>
      </c>
      <c r="E8" s="1">
        <f>IF(ISNA(VLOOKUP(C8,'Rennen 1'!$C$3:$I$26,7,FALSE)),"-",VLOOKUP(C8,'Rennen 1'!$C$3:$I$26,7,FALSE))</f>
        <v>16</v>
      </c>
      <c r="F8" s="1">
        <f>IF(ISNA(VLOOKUP(C8,'Rennen 2'!$C$3:$I$26,7,FALSE)),"-",VLOOKUP(C8,'Rennen 2'!$C$3:$I$26,7,FALSE))</f>
        <v>10</v>
      </c>
      <c r="G8" s="1">
        <f>IF(ISNA(VLOOKUP(C8,'Rennen 3'!$C$3:$I$26,7,FALSE)),"-",VLOOKUP(C8,'Rennen 3'!$C$3:$I$26,7,FALSE))</f>
        <v>7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</row>
    <row r="9" spans="2:14" x14ac:dyDescent="0.25">
      <c r="B9">
        <v>7</v>
      </c>
      <c r="C9" t="s">
        <v>6</v>
      </c>
      <c r="D9">
        <f t="shared" si="0"/>
        <v>28</v>
      </c>
      <c r="E9" s="1">
        <f>IF(ISNA(VLOOKUP(C9,'Rennen 1'!$C$3:$I$26,7,FALSE)),"-",VLOOKUP(C9,'Rennen 1'!$C$3:$I$26,7,FALSE))</f>
        <v>13</v>
      </c>
      <c r="F9" s="1">
        <f>IF(ISNA(VLOOKUP(C9,'Rennen 2'!$C$3:$I$26,7,FALSE)),"-",VLOOKUP(C9,'Rennen 2'!$C$3:$I$26,7,FALSE))</f>
        <v>9</v>
      </c>
      <c r="G9" s="1">
        <f>IF(ISNA(VLOOKUP(C9,'Rennen 3'!$C$3:$I$26,7,FALSE)),"-",VLOOKUP(C9,'Rennen 3'!$C$3:$I$26,7,FALSE))</f>
        <v>6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</row>
    <row r="10" spans="2:14" x14ac:dyDescent="0.25">
      <c r="B10">
        <v>8</v>
      </c>
      <c r="C10" t="s">
        <v>9</v>
      </c>
      <c r="D10">
        <f t="shared" si="0"/>
        <v>26</v>
      </c>
      <c r="E10" s="1">
        <f>IF(ISNA(VLOOKUP(C10,'Rennen 1'!$C$3:$I$26,7,FALSE)),"-",VLOOKUP(C10,'Rennen 1'!$C$3:$I$26,7,FALSE))</f>
        <v>9</v>
      </c>
      <c r="F10" s="1">
        <f>IF(ISNA(VLOOKUP(C10,'Rennen 2'!$C$3:$I$26,7,FALSE)),"-",VLOOKUP(C10,'Rennen 2'!$C$3:$I$26,7,FALSE))</f>
        <v>7</v>
      </c>
      <c r="G10" s="1">
        <f>IF(ISNA(VLOOKUP(C10,'Rennen 3'!$C$3:$I$26,7,FALSE)),"-",VLOOKUP(C10,'Rennen 3'!$C$3:$I$26,7,FALSE))</f>
        <v>10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</row>
    <row r="11" spans="2:14" x14ac:dyDescent="0.25">
      <c r="B11">
        <v>9</v>
      </c>
      <c r="C11" t="s">
        <v>10</v>
      </c>
      <c r="D11">
        <f t="shared" si="0"/>
        <v>25</v>
      </c>
      <c r="E11" s="1">
        <f>IF(ISNA(VLOOKUP(C11,'Rennen 1'!$C$3:$I$26,7,FALSE)),"-",VLOOKUP(C11,'Rennen 1'!$C$3:$I$26,7,FALSE))</f>
        <v>8</v>
      </c>
      <c r="F11" s="1">
        <f>IF(ISNA(VLOOKUP(C11,'Rennen 2'!$C$3:$I$26,7,FALSE)),"-",VLOOKUP(C11,'Rennen 2'!$C$3:$I$26,7,FALSE))</f>
        <v>4</v>
      </c>
      <c r="G11" s="1">
        <f>IF(ISNA(VLOOKUP(C11,'Rennen 3'!$C$3:$I$26,7,FALSE)),"-",VLOOKUP(C11,'Rennen 3'!$C$3:$I$26,7,FALSE))</f>
        <v>13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</row>
    <row r="12" spans="2:14" x14ac:dyDescent="0.25">
      <c r="B12">
        <v>10</v>
      </c>
      <c r="C12" t="s">
        <v>14</v>
      </c>
      <c r="D12">
        <f t="shared" si="0"/>
        <v>25</v>
      </c>
      <c r="E12" s="1" t="str">
        <f>IF(ISNA(VLOOKUP(C12,'Rennen 1'!$C$3:$I$26,7,FALSE)),"-",VLOOKUP(C12,'Rennen 1'!$C$3:$I$26,7,FALSE))</f>
        <v>-</v>
      </c>
      <c r="F12" s="1">
        <f>IF(ISNA(VLOOKUP(C12,'Rennen 2'!$C$3:$I$26,7,FALSE)),"-",VLOOKUP(C12,'Rennen 2'!$C$3:$I$26,7,FALSE))</f>
        <v>25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</row>
    <row r="13" spans="2:14" x14ac:dyDescent="0.25">
      <c r="B13">
        <v>11</v>
      </c>
      <c r="C13" t="s">
        <v>11</v>
      </c>
      <c r="D13">
        <f t="shared" si="0"/>
        <v>19</v>
      </c>
      <c r="E13" s="1">
        <f>IF(ISNA(VLOOKUP(C13,'Rennen 1'!$C$3:$I$26,7,FALSE)),"-",VLOOKUP(C13,'Rennen 1'!$C$3:$I$26,7,FALSE))</f>
        <v>7</v>
      </c>
      <c r="F13" s="1">
        <f>IF(ISNA(VLOOKUP(C13,'Rennen 2'!$C$3:$I$26,7,FALSE)),"-",VLOOKUP(C13,'Rennen 2'!$C$3:$I$26,7,FALSE))</f>
        <v>8</v>
      </c>
      <c r="G13" s="1">
        <f>IF(ISNA(VLOOKUP(C13,'Rennen 3'!$C$3:$I$26,7,FALSE)),"-",VLOOKUP(C13,'Rennen 3'!$C$3:$I$26,7,FALSE))</f>
        <v>4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</row>
    <row r="14" spans="2:14" x14ac:dyDescent="0.25">
      <c r="B14">
        <v>12</v>
      </c>
      <c r="C14" t="s">
        <v>12</v>
      </c>
      <c r="D14">
        <f t="shared" si="0"/>
        <v>15</v>
      </c>
      <c r="E14" s="1">
        <f>IF(ISNA(VLOOKUP(C14,'Rennen 1'!$C$3:$I$26,7,FALSE)),"-",VLOOKUP(C14,'Rennen 1'!$C$3:$I$26,7,FALSE))</f>
        <v>6</v>
      </c>
      <c r="F14" s="1">
        <f>IF(ISNA(VLOOKUP(C14,'Rennen 2'!$C$3:$I$26,7,FALSE)),"-",VLOOKUP(C14,'Rennen 2'!$C$3:$I$26,7,FALSE))</f>
        <v>6</v>
      </c>
      <c r="G14" s="1">
        <f>IF(ISNA(VLOOKUP(C14,'Rennen 3'!$C$3:$I$26,7,FALSE)),"-",VLOOKUP(C14,'Rennen 3'!$C$3:$I$26,7,FALSE))</f>
        <v>3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</row>
    <row r="15" spans="2:14" x14ac:dyDescent="0.25">
      <c r="B15">
        <v>13</v>
      </c>
      <c r="C15" t="s">
        <v>13</v>
      </c>
      <c r="D15">
        <f t="shared" si="0"/>
        <v>10</v>
      </c>
      <c r="E15" s="1">
        <f>IF(ISNA(VLOOKUP(C15,'Rennen 1'!$C$3:$I$26,7,FALSE)),"-",VLOOKUP(C15,'Rennen 1'!$C$3:$I$26,7,FALSE))</f>
        <v>5</v>
      </c>
      <c r="F15" s="1">
        <f>IF(ISNA(VLOOKUP(C15,'Rennen 2'!$C$3:$I$26,7,FALSE)),"-",VLOOKUP(C15,'Rennen 2'!$C$3:$I$26,7,FALSE))</f>
        <v>5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</row>
    <row r="16" spans="2:14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</row>
    <row r="17" spans="2:14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</row>
    <row r="18" spans="2:14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</row>
    <row r="19" spans="2:14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</row>
    <row r="20" spans="2:14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</row>
    <row r="21" spans="2:14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</row>
    <row r="22" spans="2:14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</row>
    <row r="23" spans="2:14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</row>
    <row r="24" spans="2:14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</row>
    <row r="25" spans="2:14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</row>
    <row r="26" spans="2:14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</row>
    <row r="27" spans="2:14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</row>
    <row r="28" spans="2:14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</row>
    <row r="29" spans="2:14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</row>
    <row r="30" spans="2:14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</row>
    <row r="31" spans="2:14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</row>
    <row r="32" spans="2:14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</row>
  </sheetData>
  <sortState ref="C3:N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O32"/>
  <sheetViews>
    <sheetView workbookViewId="0">
      <selection activeCell="A2" sqref="A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37</v>
      </c>
      <c r="L2" t="s">
        <v>38</v>
      </c>
      <c r="M2" t="s">
        <v>39</v>
      </c>
      <c r="N2" t="s">
        <v>40</v>
      </c>
    </row>
    <row r="3" spans="2:15" x14ac:dyDescent="0.25">
      <c r="B3">
        <v>1</v>
      </c>
      <c r="C3" t="s">
        <v>3</v>
      </c>
      <c r="D3">
        <f>SUM(E3:Z3)</f>
        <v>41</v>
      </c>
      <c r="E3" s="1">
        <f>IF(ISNA(VLOOKUP(C3,'Rennen 1'!$C$3:$I$26,7,FALSE)),"-",VLOOKUP(C3,'Rennen 1'!$C$3:$I$26,7,FALSE))</f>
        <v>25</v>
      </c>
      <c r="F3" s="1" t="str">
        <f>IF(ISNA(VLOOKUP(C3,'Rennen 2'!$C$3:$I$26,7,FALSE)),"-",VLOOKUP(C3,'Rennen 2'!$C$3:$I$26,7,FALSE))</f>
        <v>-</v>
      </c>
      <c r="G3" s="1">
        <f>IF(ISNA(VLOOKUP(C3,'Rennen 3'!$C$3:$I$26,7,FALSE)),"-",VLOOKUP(C3,'Rennen 3'!$C$3:$I$26,7,FALSE))</f>
        <v>16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/>
    </row>
    <row r="4" spans="2:15" x14ac:dyDescent="0.25">
      <c r="B4">
        <v>2</v>
      </c>
      <c r="C4" t="s">
        <v>4</v>
      </c>
      <c r="D4">
        <f t="shared" ref="D4:D32" si="0">SUM(E4:Z4)</f>
        <v>51</v>
      </c>
      <c r="E4" s="1">
        <f>IF(ISNA(VLOOKUP(C4,'Rennen 1'!$C$3:$I$26,7,FALSE)),"-",VLOOKUP(C4,'Rennen 1'!$C$3:$I$26,7,FALSE))</f>
        <v>20</v>
      </c>
      <c r="F4" s="1">
        <f>IF(ISNA(VLOOKUP(C4,'Rennen 2'!$C$3:$I$26,7,FALSE)),"-",VLOOKUP(C4,'Rennen 2'!$C$3:$I$26,7,FALSE))</f>
        <v>11</v>
      </c>
      <c r="G4" s="1">
        <f>IF(ISNA(VLOOKUP(C4,'Rennen 3'!$C$3:$I$26,7,FALSE)),"-",VLOOKUP(C4,'Rennen 3'!$C$3:$I$26,7,FALSE))</f>
        <v>20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/>
    </row>
    <row r="5" spans="2:15" x14ac:dyDescent="0.25">
      <c r="B5">
        <v>3</v>
      </c>
      <c r="C5" t="s">
        <v>5</v>
      </c>
      <c r="D5">
        <f t="shared" si="0"/>
        <v>33</v>
      </c>
      <c r="E5" s="1">
        <f>IF(ISNA(VLOOKUP(C5,'Rennen 1'!$C$3:$I$26,7,FALSE)),"-",VLOOKUP(C5,'Rennen 1'!$C$3:$I$26,7,FALSE))</f>
        <v>16</v>
      </c>
      <c r="F5" s="1">
        <f>IF(ISNA(VLOOKUP(C5,'Rennen 2'!$C$3:$I$26,7,FALSE)),"-",VLOOKUP(C5,'Rennen 2'!$C$3:$I$26,7,FALSE))</f>
        <v>10</v>
      </c>
      <c r="G5" s="1">
        <f>IF(ISNA(VLOOKUP(C5,'Rennen 3'!$C$3:$I$26,7,FALSE)),"-",VLOOKUP(C5,'Rennen 3'!$C$3:$I$26,7,FALSE))</f>
        <v>7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/>
    </row>
    <row r="6" spans="2:15" x14ac:dyDescent="0.25">
      <c r="B6">
        <v>4</v>
      </c>
      <c r="C6" t="s">
        <v>6</v>
      </c>
      <c r="D6">
        <f t="shared" si="0"/>
        <v>28</v>
      </c>
      <c r="E6" s="1">
        <f>IF(ISNA(VLOOKUP(C6,'Rennen 1'!$C$3:$I$26,7,FALSE)),"-",VLOOKUP(C6,'Rennen 1'!$C$3:$I$26,7,FALSE))</f>
        <v>13</v>
      </c>
      <c r="F6" s="1">
        <f>IF(ISNA(VLOOKUP(C6,'Rennen 2'!$C$3:$I$26,7,FALSE)),"-",VLOOKUP(C6,'Rennen 2'!$C$3:$I$26,7,FALSE))</f>
        <v>9</v>
      </c>
      <c r="G6" s="1">
        <f>IF(ISNA(VLOOKUP(C6,'Rennen 3'!$C$3:$I$26,7,FALSE)),"-",VLOOKUP(C6,'Rennen 3'!$C$3:$I$26,7,FALSE))</f>
        <v>6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/>
    </row>
    <row r="7" spans="2:15" x14ac:dyDescent="0.25">
      <c r="B7">
        <v>5</v>
      </c>
      <c r="C7" t="s">
        <v>7</v>
      </c>
      <c r="D7">
        <f t="shared" si="0"/>
        <v>38</v>
      </c>
      <c r="E7" s="1">
        <f>IF(ISNA(VLOOKUP(C7,'Rennen 1'!$C$3:$I$26,7,FALSE)),"-",VLOOKUP(C7,'Rennen 1'!$C$3:$I$26,7,FALSE))</f>
        <v>11</v>
      </c>
      <c r="F7" s="1">
        <f>IF(ISNA(VLOOKUP(C7,'Rennen 2'!$C$3:$I$26,7,FALSE)),"-",VLOOKUP(C7,'Rennen 2'!$C$3:$I$26,7,FALSE))</f>
        <v>16</v>
      </c>
      <c r="G7" s="1">
        <f>IF(ISNA(VLOOKUP(C7,'Rennen 3'!$C$3:$I$26,7,FALSE)),"-",VLOOKUP(C7,'Rennen 3'!$C$3:$I$26,7,FALSE))</f>
        <v>11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/>
    </row>
    <row r="8" spans="2:15" x14ac:dyDescent="0.25">
      <c r="B8">
        <v>6</v>
      </c>
      <c r="C8" t="s">
        <v>8</v>
      </c>
      <c r="D8">
        <f t="shared" si="0"/>
        <v>38</v>
      </c>
      <c r="E8" s="1">
        <f>IF(ISNA(VLOOKUP(C8,'Rennen 1'!$C$3:$I$26,7,FALSE)),"-",VLOOKUP(C8,'Rennen 1'!$C$3:$I$26,7,FALSE))</f>
        <v>10</v>
      </c>
      <c r="F8" s="1">
        <f>IF(ISNA(VLOOKUP(C8,'Rennen 2'!$C$3:$I$26,7,FALSE)),"-",VLOOKUP(C8,'Rennen 2'!$C$3:$I$26,7,FALSE))</f>
        <v>20</v>
      </c>
      <c r="G8" s="1">
        <f>IF(ISNA(VLOOKUP(C8,'Rennen 3'!$C$3:$I$26,7,FALSE)),"-",VLOOKUP(C8,'Rennen 3'!$C$3:$I$26,7,FALSE))</f>
        <v>8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/>
    </row>
    <row r="9" spans="2:15" x14ac:dyDescent="0.25">
      <c r="B9">
        <v>7</v>
      </c>
      <c r="C9" t="s">
        <v>9</v>
      </c>
      <c r="D9">
        <f t="shared" si="0"/>
        <v>26</v>
      </c>
      <c r="E9" s="1">
        <f>IF(ISNA(VLOOKUP(C9,'Rennen 1'!$C$3:$I$26,7,FALSE)),"-",VLOOKUP(C9,'Rennen 1'!$C$3:$I$26,7,FALSE))</f>
        <v>9</v>
      </c>
      <c r="F9" s="1">
        <f>IF(ISNA(VLOOKUP(C9,'Rennen 2'!$C$3:$I$26,7,FALSE)),"-",VLOOKUP(C9,'Rennen 2'!$C$3:$I$26,7,FALSE))</f>
        <v>7</v>
      </c>
      <c r="G9" s="1">
        <f>IF(ISNA(VLOOKUP(C9,'Rennen 3'!$C$3:$I$26,7,FALSE)),"-",VLOOKUP(C9,'Rennen 3'!$C$3:$I$26,7,FALSE))</f>
        <v>10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/>
    </row>
    <row r="10" spans="2:15" x14ac:dyDescent="0.25">
      <c r="B10">
        <v>8</v>
      </c>
      <c r="C10" t="s">
        <v>10</v>
      </c>
      <c r="D10">
        <f t="shared" si="0"/>
        <v>25</v>
      </c>
      <c r="E10" s="1">
        <f>IF(ISNA(VLOOKUP(C10,'Rennen 1'!$C$3:$I$26,7,FALSE)),"-",VLOOKUP(C10,'Rennen 1'!$C$3:$I$26,7,FALSE))</f>
        <v>8</v>
      </c>
      <c r="F10" s="1">
        <f>IF(ISNA(VLOOKUP(C10,'Rennen 2'!$C$3:$I$26,7,FALSE)),"-",VLOOKUP(C10,'Rennen 2'!$C$3:$I$26,7,FALSE))</f>
        <v>4</v>
      </c>
      <c r="G10" s="1">
        <f>IF(ISNA(VLOOKUP(C10,'Rennen 3'!$C$3:$I$26,7,FALSE)),"-",VLOOKUP(C10,'Rennen 3'!$C$3:$I$26,7,FALSE))</f>
        <v>13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/>
    </row>
    <row r="11" spans="2:15" x14ac:dyDescent="0.25">
      <c r="B11">
        <v>9</v>
      </c>
      <c r="C11" t="s">
        <v>11</v>
      </c>
      <c r="D11">
        <f t="shared" si="0"/>
        <v>19</v>
      </c>
      <c r="E11" s="1">
        <f>IF(ISNA(VLOOKUP(C11,'Rennen 1'!$C$3:$I$26,7,FALSE)),"-",VLOOKUP(C11,'Rennen 1'!$C$3:$I$26,7,FALSE))</f>
        <v>7</v>
      </c>
      <c r="F11" s="1">
        <f>IF(ISNA(VLOOKUP(C11,'Rennen 2'!$C$3:$I$26,7,FALSE)),"-",VLOOKUP(C11,'Rennen 2'!$C$3:$I$26,7,FALSE))</f>
        <v>8</v>
      </c>
      <c r="G11" s="1">
        <f>IF(ISNA(VLOOKUP(C11,'Rennen 3'!$C$3:$I$26,7,FALSE)),"-",VLOOKUP(C11,'Rennen 3'!$C$3:$I$26,7,FALSE))</f>
        <v>4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/>
    </row>
    <row r="12" spans="2:15" x14ac:dyDescent="0.25">
      <c r="B12">
        <v>10</v>
      </c>
      <c r="C12" t="s">
        <v>12</v>
      </c>
      <c r="D12">
        <f t="shared" si="0"/>
        <v>15</v>
      </c>
      <c r="E12" s="1">
        <f>IF(ISNA(VLOOKUP(C12,'Rennen 1'!$C$3:$I$26,7,FALSE)),"-",VLOOKUP(C12,'Rennen 1'!$C$3:$I$26,7,FALSE))</f>
        <v>6</v>
      </c>
      <c r="F12" s="1">
        <f>IF(ISNA(VLOOKUP(C12,'Rennen 2'!$C$3:$I$26,7,FALSE)),"-",VLOOKUP(C12,'Rennen 2'!$C$3:$I$26,7,FALSE))</f>
        <v>6</v>
      </c>
      <c r="G12" s="1">
        <f>IF(ISNA(VLOOKUP(C12,'Rennen 3'!$C$3:$I$26,7,FALSE)),"-",VLOOKUP(C12,'Rennen 3'!$C$3:$I$26,7,FALSE))</f>
        <v>3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/>
    </row>
    <row r="13" spans="2:15" x14ac:dyDescent="0.25">
      <c r="B13">
        <v>11</v>
      </c>
      <c r="C13" t="s">
        <v>13</v>
      </c>
      <c r="D13">
        <f t="shared" si="0"/>
        <v>10</v>
      </c>
      <c r="E13" s="1">
        <f>IF(ISNA(VLOOKUP(C13,'Rennen 1'!$C$3:$I$26,7,FALSE)),"-",VLOOKUP(C13,'Rennen 1'!$C$3:$I$26,7,FALSE))</f>
        <v>5</v>
      </c>
      <c r="F13" s="1">
        <f>IF(ISNA(VLOOKUP(C13,'Rennen 2'!$C$3:$I$26,7,FALSE)),"-",VLOOKUP(C13,'Rennen 2'!$C$3:$I$26,7,FALSE))</f>
        <v>5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/>
    </row>
    <row r="14" spans="2:15" x14ac:dyDescent="0.25">
      <c r="B14">
        <v>12</v>
      </c>
      <c r="C14" t="s">
        <v>14</v>
      </c>
      <c r="D14">
        <f t="shared" si="0"/>
        <v>25</v>
      </c>
      <c r="E14" s="1" t="str">
        <f>IF(ISNA(VLOOKUP(C14,'Rennen 1'!$C$3:$I$26,7,FALSE)),"-",VLOOKUP(C14,'Rennen 1'!$C$3:$I$26,7,FALSE))</f>
        <v>-</v>
      </c>
      <c r="F14" s="1">
        <f>IF(ISNA(VLOOKUP(C14,'Rennen 2'!$C$3:$I$26,7,FALSE)),"-",VLOOKUP(C14,'Rennen 2'!$C$3:$I$26,7,FALSE))</f>
        <v>25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/>
    </row>
    <row r="15" spans="2:15" x14ac:dyDescent="0.25">
      <c r="B15">
        <v>13</v>
      </c>
      <c r="C15" t="s">
        <v>15</v>
      </c>
      <c r="D15">
        <f t="shared" si="0"/>
        <v>38</v>
      </c>
      <c r="E15" s="1" t="str">
        <f>IF(ISNA(VLOOKUP(C15,'Rennen 1'!$C$3:$I$26,7,FALSE)),"-",VLOOKUP(C15,'Rennen 1'!$C$3:$I$26,7,FALSE))</f>
        <v>-</v>
      </c>
      <c r="F15" s="1">
        <f>IF(ISNA(VLOOKUP(C15,'Rennen 2'!$C$3:$I$26,7,FALSE)),"-",VLOOKUP(C15,'Rennen 2'!$C$3:$I$26,7,FALSE))</f>
        <v>13</v>
      </c>
      <c r="G15" s="1">
        <f>IF(ISNA(VLOOKUP(C15,'Rennen 3'!$C$3:$I$26,7,FALSE)),"-",VLOOKUP(C15,'Rennen 3'!$C$3:$I$26,7,FALSE))</f>
        <v>25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/>
    </row>
    <row r="16" spans="2:15" x14ac:dyDescent="0.25">
      <c r="B16">
        <v>14</v>
      </c>
      <c r="C16" t="s">
        <v>16</v>
      </c>
      <c r="D16">
        <f t="shared" si="0"/>
        <v>9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>
        <f>IF(ISNA(VLOOKUP(C16,'Rennen 3'!$C$3:$I$26,7,FALSE)),"-",VLOOKUP(C16,'Rennen 3'!$C$3:$I$26,7,FALSE))</f>
        <v>9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/>
    </row>
    <row r="17" spans="2:15" x14ac:dyDescent="0.25">
      <c r="B17">
        <v>15</v>
      </c>
      <c r="C17" t="s">
        <v>17</v>
      </c>
      <c r="D17">
        <f t="shared" si="0"/>
        <v>5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>
        <f>IF(ISNA(VLOOKUP(C17,'Rennen 3'!$C$3:$I$26,7,FALSE)),"-",VLOOKUP(C17,'Rennen 3'!$C$3:$I$26,7,FALSE))</f>
        <v>5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/>
    </row>
    <row r="18" spans="2:15" x14ac:dyDescent="0.25">
      <c r="B18">
        <v>16</v>
      </c>
      <c r="C18" t="s">
        <v>18</v>
      </c>
      <c r="D18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DNF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/>
    </row>
    <row r="19" spans="2:15" x14ac:dyDescent="0.25">
      <c r="B19">
        <v>17</v>
      </c>
      <c r="D19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/>
    </row>
    <row r="20" spans="2:15" x14ac:dyDescent="0.25">
      <c r="B20">
        <v>18</v>
      </c>
      <c r="D20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/>
    </row>
    <row r="21" spans="2:15" x14ac:dyDescent="0.25">
      <c r="B21">
        <v>19</v>
      </c>
      <c r="D2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/>
    </row>
    <row r="22" spans="2:15" x14ac:dyDescent="0.25">
      <c r="B22">
        <v>20</v>
      </c>
      <c r="D22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/>
    </row>
    <row r="23" spans="2:15" x14ac:dyDescent="0.25">
      <c r="B23">
        <v>21</v>
      </c>
      <c r="D23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/>
    </row>
    <row r="24" spans="2:15" x14ac:dyDescent="0.25">
      <c r="B24">
        <v>22</v>
      </c>
      <c r="D24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/>
    </row>
    <row r="25" spans="2:15" x14ac:dyDescent="0.25">
      <c r="B25">
        <v>23</v>
      </c>
      <c r="D25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/>
    </row>
    <row r="26" spans="2:15" x14ac:dyDescent="0.25">
      <c r="B26">
        <v>24</v>
      </c>
      <c r="D26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/>
    </row>
    <row r="27" spans="2:15" x14ac:dyDescent="0.25">
      <c r="B27">
        <v>25</v>
      </c>
      <c r="D27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/>
    </row>
    <row r="28" spans="2:15" x14ac:dyDescent="0.25">
      <c r="B28">
        <v>26</v>
      </c>
      <c r="D28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/>
    </row>
    <row r="29" spans="2:15" x14ac:dyDescent="0.25">
      <c r="B29">
        <v>27</v>
      </c>
      <c r="D29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/>
    </row>
    <row r="30" spans="2:15" x14ac:dyDescent="0.25">
      <c r="B30">
        <v>28</v>
      </c>
      <c r="D30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/>
    </row>
    <row r="31" spans="2:15" x14ac:dyDescent="0.25">
      <c r="B31">
        <v>29</v>
      </c>
      <c r="D3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/>
    </row>
    <row r="32" spans="2:15" x14ac:dyDescent="0.25">
      <c r="B32">
        <v>30</v>
      </c>
      <c r="D32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26"/>
  <sheetViews>
    <sheetView workbookViewId="0">
      <selection activeCell="A8" sqref="A8"/>
    </sheetView>
  </sheetViews>
  <sheetFormatPr baseColWidth="10" defaultRowHeight="15" x14ac:dyDescent="0.25"/>
  <cols>
    <col min="3" max="3" width="1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3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5</v>
      </c>
      <c r="I5">
        <v>16</v>
      </c>
    </row>
    <row r="6" spans="2:9" x14ac:dyDescent="0.25">
      <c r="B6">
        <v>4</v>
      </c>
      <c r="C6" t="s">
        <v>6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8</v>
      </c>
      <c r="I8">
        <v>10</v>
      </c>
    </row>
    <row r="9" spans="2:9" x14ac:dyDescent="0.25">
      <c r="B9">
        <v>7</v>
      </c>
      <c r="C9" t="s">
        <v>9</v>
      </c>
      <c r="I9">
        <v>9</v>
      </c>
    </row>
    <row r="10" spans="2:9" x14ac:dyDescent="0.25">
      <c r="B10">
        <v>8</v>
      </c>
      <c r="C10" t="s">
        <v>10</v>
      </c>
      <c r="I10">
        <v>8</v>
      </c>
    </row>
    <row r="11" spans="2:9" x14ac:dyDescent="0.25">
      <c r="B11">
        <v>9</v>
      </c>
      <c r="C11" t="s">
        <v>11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I14">
        <v>0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I26"/>
  <sheetViews>
    <sheetView workbookViewId="0">
      <selection activeCell="J15" sqref="J15"/>
    </sheetView>
  </sheetViews>
  <sheetFormatPr baseColWidth="10" defaultRowHeight="15" x14ac:dyDescent="0.25"/>
  <cols>
    <col min="3" max="3" width="16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14</v>
      </c>
      <c r="I3">
        <v>25</v>
      </c>
    </row>
    <row r="4" spans="2:9" x14ac:dyDescent="0.25">
      <c r="B4">
        <v>2</v>
      </c>
      <c r="C4" t="s">
        <v>8</v>
      </c>
      <c r="I4">
        <v>20</v>
      </c>
    </row>
    <row r="5" spans="2:9" x14ac:dyDescent="0.25">
      <c r="B5">
        <v>3</v>
      </c>
      <c r="C5" t="s">
        <v>7</v>
      </c>
      <c r="I5">
        <v>16</v>
      </c>
    </row>
    <row r="6" spans="2:9" x14ac:dyDescent="0.25">
      <c r="B6">
        <v>4</v>
      </c>
      <c r="C6" t="s">
        <v>15</v>
      </c>
      <c r="I6">
        <v>13</v>
      </c>
    </row>
    <row r="7" spans="2:9" x14ac:dyDescent="0.25">
      <c r="B7">
        <v>5</v>
      </c>
      <c r="C7" t="s">
        <v>4</v>
      </c>
      <c r="I7">
        <v>11</v>
      </c>
    </row>
    <row r="8" spans="2:9" x14ac:dyDescent="0.25">
      <c r="B8">
        <v>6</v>
      </c>
      <c r="C8" t="s">
        <v>5</v>
      </c>
      <c r="I8">
        <v>10</v>
      </c>
    </row>
    <row r="9" spans="2:9" x14ac:dyDescent="0.25">
      <c r="B9">
        <v>7</v>
      </c>
      <c r="C9" t="s">
        <v>6</v>
      </c>
      <c r="I9">
        <v>9</v>
      </c>
    </row>
    <row r="10" spans="2:9" x14ac:dyDescent="0.25">
      <c r="B10">
        <v>8</v>
      </c>
      <c r="C10" t="s">
        <v>11</v>
      </c>
      <c r="I10">
        <v>8</v>
      </c>
    </row>
    <row r="11" spans="2:9" x14ac:dyDescent="0.25">
      <c r="B11">
        <v>9</v>
      </c>
      <c r="C11" t="s">
        <v>9</v>
      </c>
      <c r="I11">
        <v>7</v>
      </c>
    </row>
    <row r="12" spans="2:9" x14ac:dyDescent="0.25">
      <c r="B12">
        <v>10</v>
      </c>
      <c r="C12" t="s">
        <v>12</v>
      </c>
      <c r="I12">
        <v>6</v>
      </c>
    </row>
    <row r="13" spans="2:9" x14ac:dyDescent="0.25">
      <c r="B13">
        <v>11</v>
      </c>
      <c r="C13" t="s">
        <v>13</v>
      </c>
      <c r="I13">
        <v>5</v>
      </c>
    </row>
    <row r="14" spans="2:9" x14ac:dyDescent="0.25">
      <c r="B14">
        <v>12</v>
      </c>
      <c r="C14" t="s">
        <v>10</v>
      </c>
      <c r="I14">
        <v>4</v>
      </c>
    </row>
    <row r="15" spans="2:9" x14ac:dyDescent="0.25">
      <c r="B15">
        <v>13</v>
      </c>
      <c r="I15">
        <v>0</v>
      </c>
    </row>
    <row r="16" spans="2:9" x14ac:dyDescent="0.25">
      <c r="B16">
        <v>14</v>
      </c>
      <c r="I16">
        <v>0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I26"/>
  <sheetViews>
    <sheetView workbookViewId="0">
      <selection activeCell="D1" sqref="D1"/>
    </sheetView>
  </sheetViews>
  <sheetFormatPr baseColWidth="10" defaultRowHeight="15" x14ac:dyDescent="0.25"/>
  <cols>
    <col min="3" max="3" width="19.85546875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C3" t="s">
        <v>15</v>
      </c>
      <c r="I3">
        <v>25</v>
      </c>
    </row>
    <row r="4" spans="2:9" x14ac:dyDescent="0.25">
      <c r="B4">
        <v>2</v>
      </c>
      <c r="C4" t="s">
        <v>4</v>
      </c>
      <c r="I4">
        <v>20</v>
      </c>
    </row>
    <row r="5" spans="2:9" x14ac:dyDescent="0.25">
      <c r="B5">
        <v>3</v>
      </c>
      <c r="C5" t="s">
        <v>3</v>
      </c>
      <c r="I5">
        <v>16</v>
      </c>
    </row>
    <row r="6" spans="2:9" x14ac:dyDescent="0.25">
      <c r="B6">
        <v>4</v>
      </c>
      <c r="C6" t="s">
        <v>10</v>
      </c>
      <c r="I6">
        <v>13</v>
      </c>
    </row>
    <row r="7" spans="2:9" x14ac:dyDescent="0.25">
      <c r="B7">
        <v>5</v>
      </c>
      <c r="C7" t="s">
        <v>7</v>
      </c>
      <c r="I7">
        <v>11</v>
      </c>
    </row>
    <row r="8" spans="2:9" x14ac:dyDescent="0.25">
      <c r="B8">
        <v>6</v>
      </c>
      <c r="C8" t="s">
        <v>9</v>
      </c>
      <c r="I8">
        <v>10</v>
      </c>
    </row>
    <row r="9" spans="2:9" x14ac:dyDescent="0.25">
      <c r="B9">
        <v>7</v>
      </c>
      <c r="C9" t="s">
        <v>16</v>
      </c>
      <c r="I9">
        <v>9</v>
      </c>
    </row>
    <row r="10" spans="2:9" x14ac:dyDescent="0.25">
      <c r="B10">
        <v>8</v>
      </c>
      <c r="C10" t="s">
        <v>8</v>
      </c>
      <c r="I10">
        <v>8</v>
      </c>
    </row>
    <row r="11" spans="2:9" x14ac:dyDescent="0.25">
      <c r="B11">
        <v>9</v>
      </c>
      <c r="C11" t="s">
        <v>5</v>
      </c>
      <c r="I11">
        <v>7</v>
      </c>
    </row>
    <row r="12" spans="2:9" x14ac:dyDescent="0.25">
      <c r="B12">
        <v>10</v>
      </c>
      <c r="C12" t="s">
        <v>6</v>
      </c>
      <c r="I12">
        <v>6</v>
      </c>
    </row>
    <row r="13" spans="2:9" x14ac:dyDescent="0.25">
      <c r="B13">
        <v>11</v>
      </c>
      <c r="C13" t="s">
        <v>17</v>
      </c>
      <c r="I13">
        <v>5</v>
      </c>
    </row>
    <row r="14" spans="2:9" x14ac:dyDescent="0.25">
      <c r="B14">
        <v>12</v>
      </c>
      <c r="C14" t="s">
        <v>11</v>
      </c>
      <c r="I14">
        <v>4</v>
      </c>
    </row>
    <row r="15" spans="2:9" x14ac:dyDescent="0.25">
      <c r="B15">
        <v>13</v>
      </c>
      <c r="C15" t="s">
        <v>12</v>
      </c>
      <c r="I15">
        <v>3</v>
      </c>
    </row>
    <row r="16" spans="2:9" x14ac:dyDescent="0.25">
      <c r="B16">
        <v>14</v>
      </c>
      <c r="C16" t="s">
        <v>18</v>
      </c>
      <c r="I16" s="1" t="s">
        <v>41</v>
      </c>
    </row>
    <row r="17" spans="2:9" x14ac:dyDescent="0.25">
      <c r="B17">
        <v>15</v>
      </c>
      <c r="I17">
        <v>0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I26"/>
  <sheetViews>
    <sheetView workbookViewId="0">
      <selection activeCell="C3" sqref="C3:C26"/>
    </sheetView>
  </sheetViews>
  <sheetFormatPr baseColWidth="10" defaultRowHeight="15" x14ac:dyDescent="0.25"/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2:I26"/>
  <sheetViews>
    <sheetView workbookViewId="0">
      <selection activeCell="M18" sqref="M18"/>
    </sheetView>
  </sheetViews>
  <sheetFormatPr baseColWidth="10" defaultRowHeight="15" x14ac:dyDescent="0.25"/>
  <cols>
    <col min="3" max="3" width="14.42578125" bestFit="1" customWidth="1"/>
  </cols>
  <sheetData>
    <row r="2" spans="2:9" x14ac:dyDescent="0.25">
      <c r="B2" t="s">
        <v>0</v>
      </c>
      <c r="C2" t="s">
        <v>1</v>
      </c>
      <c r="D2" t="s">
        <v>19</v>
      </c>
      <c r="E2" t="s">
        <v>20</v>
      </c>
      <c r="F2" t="s">
        <v>21</v>
      </c>
      <c r="G2" t="s">
        <v>23</v>
      </c>
      <c r="H2" t="s">
        <v>22</v>
      </c>
      <c r="I2" t="s">
        <v>2</v>
      </c>
    </row>
    <row r="3" spans="2:9" x14ac:dyDescent="0.25">
      <c r="B3">
        <v>1</v>
      </c>
      <c r="I3">
        <v>25</v>
      </c>
    </row>
    <row r="4" spans="2:9" x14ac:dyDescent="0.25">
      <c r="B4">
        <v>2</v>
      </c>
      <c r="I4">
        <v>20</v>
      </c>
    </row>
    <row r="5" spans="2:9" x14ac:dyDescent="0.25">
      <c r="B5">
        <v>3</v>
      </c>
      <c r="I5">
        <v>16</v>
      </c>
    </row>
    <row r="6" spans="2:9" x14ac:dyDescent="0.25">
      <c r="B6">
        <v>4</v>
      </c>
      <c r="I6">
        <v>13</v>
      </c>
    </row>
    <row r="7" spans="2:9" x14ac:dyDescent="0.25">
      <c r="B7">
        <v>5</v>
      </c>
      <c r="I7">
        <v>11</v>
      </c>
    </row>
    <row r="8" spans="2:9" x14ac:dyDescent="0.25">
      <c r="B8">
        <v>6</v>
      </c>
      <c r="I8">
        <v>10</v>
      </c>
    </row>
    <row r="9" spans="2:9" x14ac:dyDescent="0.25">
      <c r="B9">
        <v>7</v>
      </c>
      <c r="I9">
        <v>9</v>
      </c>
    </row>
    <row r="10" spans="2:9" x14ac:dyDescent="0.25">
      <c r="B10">
        <v>8</v>
      </c>
      <c r="I10">
        <v>8</v>
      </c>
    </row>
    <row r="11" spans="2:9" x14ac:dyDescent="0.25">
      <c r="B11">
        <v>9</v>
      </c>
      <c r="I11">
        <v>7</v>
      </c>
    </row>
    <row r="12" spans="2:9" x14ac:dyDescent="0.25">
      <c r="B12">
        <v>10</v>
      </c>
      <c r="I12">
        <v>6</v>
      </c>
    </row>
    <row r="13" spans="2:9" x14ac:dyDescent="0.25">
      <c r="B13">
        <v>11</v>
      </c>
      <c r="I13">
        <v>5</v>
      </c>
    </row>
    <row r="14" spans="2:9" x14ac:dyDescent="0.25">
      <c r="B14">
        <v>12</v>
      </c>
      <c r="I14">
        <v>4</v>
      </c>
    </row>
    <row r="15" spans="2:9" x14ac:dyDescent="0.25">
      <c r="B15">
        <v>13</v>
      </c>
      <c r="I15">
        <v>3</v>
      </c>
    </row>
    <row r="16" spans="2:9" x14ac:dyDescent="0.25">
      <c r="B16">
        <v>14</v>
      </c>
      <c r="I16">
        <v>2</v>
      </c>
    </row>
    <row r="17" spans="2:9" x14ac:dyDescent="0.25">
      <c r="B17">
        <v>15</v>
      </c>
      <c r="I17">
        <v>1</v>
      </c>
    </row>
    <row r="18" spans="2:9" x14ac:dyDescent="0.25">
      <c r="B18">
        <v>16</v>
      </c>
      <c r="I18">
        <v>0</v>
      </c>
    </row>
    <row r="19" spans="2:9" x14ac:dyDescent="0.25">
      <c r="B19">
        <v>17</v>
      </c>
      <c r="I19">
        <v>0</v>
      </c>
    </row>
    <row r="20" spans="2:9" x14ac:dyDescent="0.25">
      <c r="B20">
        <v>18</v>
      </c>
      <c r="I20">
        <v>0</v>
      </c>
    </row>
    <row r="21" spans="2:9" x14ac:dyDescent="0.25">
      <c r="B21">
        <v>19</v>
      </c>
      <c r="I21">
        <v>0</v>
      </c>
    </row>
    <row r="22" spans="2:9" x14ac:dyDescent="0.25">
      <c r="B22">
        <v>20</v>
      </c>
      <c r="I22">
        <v>0</v>
      </c>
    </row>
    <row r="23" spans="2:9" x14ac:dyDescent="0.25">
      <c r="B23">
        <v>21</v>
      </c>
      <c r="I23">
        <v>0</v>
      </c>
    </row>
    <row r="24" spans="2:9" x14ac:dyDescent="0.25">
      <c r="B24">
        <v>22</v>
      </c>
      <c r="I24">
        <v>0</v>
      </c>
    </row>
    <row r="25" spans="2:9" x14ac:dyDescent="0.25">
      <c r="B25">
        <v>23</v>
      </c>
      <c r="I25">
        <v>0</v>
      </c>
    </row>
    <row r="26" spans="2:9" x14ac:dyDescent="0.25">
      <c r="B26">
        <v>24</v>
      </c>
      <c r="I26"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Information</vt:lpstr>
      <vt:lpstr>Fahrerwertung</vt:lpstr>
      <vt:lpstr>Fahrerauswertung</vt:lpstr>
      <vt:lpstr>Teamwertung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2016-08-02T23:22:56Z</dcterms:modified>
</cp:coreProperties>
</file>