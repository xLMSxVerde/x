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ocuments\GitHub\x\public\data\fm\"/>
    </mc:Choice>
  </mc:AlternateContent>
  <bookViews>
    <workbookView xWindow="0" yWindow="0" windowWidth="28800" windowHeight="12360" tabRatio="827" activeTab="1"/>
  </bookViews>
  <sheets>
    <sheet name="Information" sheetId="14" r:id="rId1"/>
    <sheet name="Fahrerwertung" sheetId="1" r:id="rId2"/>
    <sheet name="Fahrerauswertung" sheetId="13" r:id="rId3"/>
    <sheet name="Teamwertung" sheetId="12" r:id="rId4"/>
    <sheet name="Teamauswertung" sheetId="43" r:id="rId5"/>
    <sheet name="Rennen 1" sheetId="2" r:id="rId6"/>
    <sheet name="Rennen 2" sheetId="3" r:id="rId7"/>
    <sheet name="Rennen 3" sheetId="4" r:id="rId8"/>
    <sheet name="Rennen 4" sheetId="5" r:id="rId9"/>
    <sheet name="Rennen 5" sheetId="6" r:id="rId10"/>
    <sheet name="Rennen 6" sheetId="7" r:id="rId11"/>
    <sheet name="Rennen 7" sheetId="8" r:id="rId12"/>
    <sheet name="Rennen 8" sheetId="9" r:id="rId13"/>
    <sheet name="Rennen 9" sheetId="10" r:id="rId14"/>
    <sheet name="Rennen 10" sheetId="11" r:id="rId15"/>
    <sheet name="Rennen 11" sheetId="17" r:id="rId16"/>
    <sheet name="Rennen 12" sheetId="18" r:id="rId17"/>
    <sheet name="Rennen 13" sheetId="19" r:id="rId18"/>
    <sheet name="Rennen 14" sheetId="42" r:id="rId19"/>
    <sheet name="Rennen 15" sheetId="24" r:id="rId20"/>
    <sheet name="Rennen 16" sheetId="25" r:id="rId21"/>
    <sheet name="Rennen 17" sheetId="26" r:id="rId22"/>
    <sheet name="Rennen 18" sheetId="28" r:id="rId23"/>
    <sheet name="Rennen 19" sheetId="29" r:id="rId24"/>
    <sheet name="Rennen 20" sheetId="30" r:id="rId25"/>
    <sheet name="Rennen 21" sheetId="31" r:id="rId26"/>
    <sheet name="Rennen 22" sheetId="32" r:id="rId27"/>
    <sheet name="Rennen 23" sheetId="33" r:id="rId28"/>
    <sheet name="Rennen 24" sheetId="34" r:id="rId29"/>
    <sheet name="Rennen 25" sheetId="35" r:id="rId30"/>
    <sheet name="Rennen 26" sheetId="36" r:id="rId31"/>
    <sheet name="Rennen 27" sheetId="37" r:id="rId32"/>
    <sheet name="Rennen 28" sheetId="38" r:id="rId33"/>
    <sheet name="Rennen 29" sheetId="40" r:id="rId34"/>
    <sheet name="Rennen 30" sheetId="44" r:id="rId35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12" l="1"/>
  <c r="N17" i="12"/>
  <c r="M17" i="12"/>
  <c r="L17" i="12"/>
  <c r="K17" i="12"/>
  <c r="J17" i="12"/>
  <c r="I17" i="12"/>
  <c r="H17" i="12"/>
  <c r="E17" i="12" s="1"/>
  <c r="G17" i="12"/>
  <c r="F17" i="12"/>
  <c r="O16" i="12"/>
  <c r="N16" i="12"/>
  <c r="M16" i="12"/>
  <c r="L16" i="12"/>
  <c r="K16" i="12"/>
  <c r="J16" i="12"/>
  <c r="I16" i="12"/>
  <c r="H16" i="12"/>
  <c r="G16" i="12"/>
  <c r="F16" i="12"/>
  <c r="E16" i="12" s="1"/>
  <c r="O15" i="12"/>
  <c r="N15" i="12"/>
  <c r="M15" i="12"/>
  <c r="L15" i="12"/>
  <c r="K15" i="12"/>
  <c r="J15" i="12"/>
  <c r="I15" i="12"/>
  <c r="H15" i="12"/>
  <c r="G15" i="12"/>
  <c r="F15" i="12"/>
  <c r="O14" i="12"/>
  <c r="N14" i="12"/>
  <c r="M14" i="12"/>
  <c r="L14" i="12"/>
  <c r="K14" i="12"/>
  <c r="J14" i="12"/>
  <c r="I14" i="12"/>
  <c r="H14" i="12"/>
  <c r="G14" i="12"/>
  <c r="F14" i="12"/>
  <c r="O13" i="12"/>
  <c r="N13" i="12"/>
  <c r="M13" i="12"/>
  <c r="L13" i="12"/>
  <c r="K13" i="12"/>
  <c r="J13" i="12"/>
  <c r="I13" i="12"/>
  <c r="H13" i="12"/>
  <c r="E13" i="12" s="1"/>
  <c r="G13" i="12"/>
  <c r="F13" i="12"/>
  <c r="O12" i="12"/>
  <c r="N12" i="12"/>
  <c r="M12" i="12"/>
  <c r="L12" i="12"/>
  <c r="K12" i="12"/>
  <c r="J12" i="12"/>
  <c r="I12" i="12"/>
  <c r="H12" i="12"/>
  <c r="G12" i="12"/>
  <c r="F12" i="12"/>
  <c r="E12" i="12" s="1"/>
  <c r="O11" i="12"/>
  <c r="N11" i="12"/>
  <c r="M11" i="12"/>
  <c r="L11" i="12"/>
  <c r="K11" i="12"/>
  <c r="J11" i="12"/>
  <c r="I11" i="12"/>
  <c r="H11" i="12"/>
  <c r="G11" i="12"/>
  <c r="F11" i="12"/>
  <c r="O9" i="12"/>
  <c r="N9" i="12"/>
  <c r="M9" i="12"/>
  <c r="L9" i="12"/>
  <c r="K9" i="12"/>
  <c r="J9" i="12"/>
  <c r="I9" i="12"/>
  <c r="H9" i="12"/>
  <c r="G9" i="12"/>
  <c r="F9" i="12"/>
  <c r="O10" i="12"/>
  <c r="N10" i="12"/>
  <c r="M10" i="12"/>
  <c r="L10" i="12"/>
  <c r="K10" i="12"/>
  <c r="J10" i="12"/>
  <c r="I10" i="12"/>
  <c r="H10" i="12"/>
  <c r="E10" i="12" s="1"/>
  <c r="G10" i="12"/>
  <c r="F10" i="12"/>
  <c r="O8" i="12"/>
  <c r="N8" i="12"/>
  <c r="M8" i="12"/>
  <c r="L8" i="12"/>
  <c r="K8" i="12"/>
  <c r="J8" i="12"/>
  <c r="I8" i="12"/>
  <c r="H8" i="12"/>
  <c r="G8" i="12"/>
  <c r="F8" i="12"/>
  <c r="E8" i="12" s="1"/>
  <c r="O5" i="12"/>
  <c r="N5" i="12"/>
  <c r="M5" i="12"/>
  <c r="L5" i="12"/>
  <c r="K5" i="12"/>
  <c r="J5" i="12"/>
  <c r="I5" i="12"/>
  <c r="H5" i="12"/>
  <c r="G5" i="12"/>
  <c r="F5" i="12"/>
  <c r="O7" i="12"/>
  <c r="N7" i="12"/>
  <c r="M7" i="12"/>
  <c r="L7" i="12"/>
  <c r="K7" i="12"/>
  <c r="J7" i="12"/>
  <c r="I7" i="12"/>
  <c r="H7" i="12"/>
  <c r="G7" i="12"/>
  <c r="F7" i="12"/>
  <c r="O6" i="12"/>
  <c r="N6" i="12"/>
  <c r="M6" i="12"/>
  <c r="L6" i="12"/>
  <c r="K6" i="12"/>
  <c r="J6" i="12"/>
  <c r="I6" i="12"/>
  <c r="H6" i="12"/>
  <c r="E6" i="12" s="1"/>
  <c r="G6" i="12"/>
  <c r="F6" i="12"/>
  <c r="O3" i="12"/>
  <c r="N3" i="12"/>
  <c r="M3" i="12"/>
  <c r="L3" i="12"/>
  <c r="K3" i="12"/>
  <c r="J3" i="12"/>
  <c r="I3" i="12"/>
  <c r="H3" i="12"/>
  <c r="G3" i="12"/>
  <c r="F3" i="12"/>
  <c r="E3" i="12" s="1"/>
  <c r="O4" i="12"/>
  <c r="N4" i="12"/>
  <c r="M4" i="12"/>
  <c r="L4" i="12"/>
  <c r="K4" i="12"/>
  <c r="J4" i="12"/>
  <c r="I4" i="12"/>
  <c r="H4" i="12"/>
  <c r="G4" i="12"/>
  <c r="F4" i="12"/>
  <c r="N32" i="1"/>
  <c r="M32" i="1"/>
  <c r="L32" i="1"/>
  <c r="K32" i="1"/>
  <c r="J32" i="1"/>
  <c r="I32" i="1"/>
  <c r="H32" i="1"/>
  <c r="G32" i="1"/>
  <c r="F32" i="1"/>
  <c r="E32" i="1"/>
  <c r="N31" i="1"/>
  <c r="M31" i="1"/>
  <c r="L31" i="1"/>
  <c r="K31" i="1"/>
  <c r="J31" i="1"/>
  <c r="I31" i="1"/>
  <c r="H31" i="1"/>
  <c r="G31" i="1"/>
  <c r="F31" i="1"/>
  <c r="E31" i="1"/>
  <c r="D31" i="1" s="1"/>
  <c r="N30" i="1"/>
  <c r="M30" i="1"/>
  <c r="L30" i="1"/>
  <c r="K30" i="1"/>
  <c r="J30" i="1"/>
  <c r="I30" i="1"/>
  <c r="H30" i="1"/>
  <c r="G30" i="1"/>
  <c r="F30" i="1"/>
  <c r="E30" i="1"/>
  <c r="N29" i="1"/>
  <c r="M29" i="1"/>
  <c r="L29" i="1"/>
  <c r="K29" i="1"/>
  <c r="J29" i="1"/>
  <c r="I29" i="1"/>
  <c r="H29" i="1"/>
  <c r="G29" i="1"/>
  <c r="F29" i="1"/>
  <c r="E29" i="1"/>
  <c r="N28" i="1"/>
  <c r="M28" i="1"/>
  <c r="L28" i="1"/>
  <c r="K28" i="1"/>
  <c r="J28" i="1"/>
  <c r="I28" i="1"/>
  <c r="H28" i="1"/>
  <c r="G28" i="1"/>
  <c r="D28" i="1" s="1"/>
  <c r="F28" i="1"/>
  <c r="E28" i="1"/>
  <c r="N27" i="1"/>
  <c r="M27" i="1"/>
  <c r="L27" i="1"/>
  <c r="K27" i="1"/>
  <c r="J27" i="1"/>
  <c r="I27" i="1"/>
  <c r="H27" i="1"/>
  <c r="G27" i="1"/>
  <c r="F27" i="1"/>
  <c r="E27" i="1"/>
  <c r="D27" i="1" s="1"/>
  <c r="N26" i="1"/>
  <c r="M26" i="1"/>
  <c r="L26" i="1"/>
  <c r="K26" i="1"/>
  <c r="J26" i="1"/>
  <c r="I26" i="1"/>
  <c r="H26" i="1"/>
  <c r="G26" i="1"/>
  <c r="F26" i="1"/>
  <c r="E26" i="1"/>
  <c r="N25" i="1"/>
  <c r="M25" i="1"/>
  <c r="L25" i="1"/>
  <c r="K25" i="1"/>
  <c r="J25" i="1"/>
  <c r="I25" i="1"/>
  <c r="H25" i="1"/>
  <c r="G25" i="1"/>
  <c r="F25" i="1"/>
  <c r="E25" i="1"/>
  <c r="N24" i="1"/>
  <c r="M24" i="1"/>
  <c r="L24" i="1"/>
  <c r="K24" i="1"/>
  <c r="J24" i="1"/>
  <c r="I24" i="1"/>
  <c r="H24" i="1"/>
  <c r="G24" i="1"/>
  <c r="D24" i="1" s="1"/>
  <c r="F24" i="1"/>
  <c r="E24" i="1"/>
  <c r="N23" i="1"/>
  <c r="M23" i="1"/>
  <c r="L23" i="1"/>
  <c r="K23" i="1"/>
  <c r="J23" i="1"/>
  <c r="I23" i="1"/>
  <c r="H23" i="1"/>
  <c r="G23" i="1"/>
  <c r="F23" i="1"/>
  <c r="E23" i="1"/>
  <c r="D23" i="1" s="1"/>
  <c r="N22" i="1"/>
  <c r="M22" i="1"/>
  <c r="L22" i="1"/>
  <c r="K22" i="1"/>
  <c r="J22" i="1"/>
  <c r="I22" i="1"/>
  <c r="H22" i="1"/>
  <c r="G22" i="1"/>
  <c r="F22" i="1"/>
  <c r="E22" i="1"/>
  <c r="N21" i="1"/>
  <c r="M21" i="1"/>
  <c r="L21" i="1"/>
  <c r="K21" i="1"/>
  <c r="J21" i="1"/>
  <c r="I21" i="1"/>
  <c r="H21" i="1"/>
  <c r="G21" i="1"/>
  <c r="F21" i="1"/>
  <c r="E21" i="1"/>
  <c r="N20" i="1"/>
  <c r="M20" i="1"/>
  <c r="L20" i="1"/>
  <c r="K20" i="1"/>
  <c r="J20" i="1"/>
  <c r="I20" i="1"/>
  <c r="H20" i="1"/>
  <c r="G20" i="1"/>
  <c r="F20" i="1"/>
  <c r="E20" i="1"/>
  <c r="N19" i="1"/>
  <c r="M19" i="1"/>
  <c r="L19" i="1"/>
  <c r="K19" i="1"/>
  <c r="J19" i="1"/>
  <c r="I19" i="1"/>
  <c r="H19" i="1"/>
  <c r="G19" i="1"/>
  <c r="F19" i="1"/>
  <c r="E19" i="1"/>
  <c r="N18" i="1"/>
  <c r="M18" i="1"/>
  <c r="L18" i="1"/>
  <c r="K18" i="1"/>
  <c r="J18" i="1"/>
  <c r="I18" i="1"/>
  <c r="H18" i="1"/>
  <c r="G18" i="1"/>
  <c r="F18" i="1"/>
  <c r="E18" i="1"/>
  <c r="N16" i="1"/>
  <c r="M16" i="1"/>
  <c r="L16" i="1"/>
  <c r="K16" i="1"/>
  <c r="J16" i="1"/>
  <c r="I16" i="1"/>
  <c r="H16" i="1"/>
  <c r="G16" i="1"/>
  <c r="F16" i="1"/>
  <c r="E16" i="1"/>
  <c r="N17" i="1"/>
  <c r="M17" i="1"/>
  <c r="L17" i="1"/>
  <c r="K17" i="1"/>
  <c r="J17" i="1"/>
  <c r="I17" i="1"/>
  <c r="H17" i="1"/>
  <c r="G17" i="1"/>
  <c r="F17" i="1"/>
  <c r="E17" i="1"/>
  <c r="N6" i="1"/>
  <c r="M6" i="1"/>
  <c r="L6" i="1"/>
  <c r="K6" i="1"/>
  <c r="J6" i="1"/>
  <c r="I6" i="1"/>
  <c r="H6" i="1"/>
  <c r="G6" i="1"/>
  <c r="F6" i="1"/>
  <c r="E6" i="1"/>
  <c r="N13" i="1"/>
  <c r="M13" i="1"/>
  <c r="L13" i="1"/>
  <c r="K13" i="1"/>
  <c r="J13" i="1"/>
  <c r="I13" i="1"/>
  <c r="H13" i="1"/>
  <c r="G13" i="1"/>
  <c r="F13" i="1"/>
  <c r="E13" i="1"/>
  <c r="N15" i="1"/>
  <c r="M15" i="1"/>
  <c r="L15" i="1"/>
  <c r="K15" i="1"/>
  <c r="J15" i="1"/>
  <c r="I15" i="1"/>
  <c r="H15" i="1"/>
  <c r="G15" i="1"/>
  <c r="F15" i="1"/>
  <c r="E15" i="1"/>
  <c r="N14" i="1"/>
  <c r="M14" i="1"/>
  <c r="L14" i="1"/>
  <c r="K14" i="1"/>
  <c r="J14" i="1"/>
  <c r="I14" i="1"/>
  <c r="H14" i="1"/>
  <c r="G14" i="1"/>
  <c r="F14" i="1"/>
  <c r="E14" i="1"/>
  <c r="N11" i="1"/>
  <c r="M11" i="1"/>
  <c r="L11" i="1"/>
  <c r="K11" i="1"/>
  <c r="J11" i="1"/>
  <c r="I11" i="1"/>
  <c r="H11" i="1"/>
  <c r="G11" i="1"/>
  <c r="F11" i="1"/>
  <c r="E11" i="1"/>
  <c r="N12" i="1"/>
  <c r="M12" i="1"/>
  <c r="L12" i="1"/>
  <c r="K12" i="1"/>
  <c r="J12" i="1"/>
  <c r="I12" i="1"/>
  <c r="H12" i="1"/>
  <c r="G12" i="1"/>
  <c r="F12" i="1"/>
  <c r="E12" i="1"/>
  <c r="N10" i="1"/>
  <c r="M10" i="1"/>
  <c r="L10" i="1"/>
  <c r="K10" i="1"/>
  <c r="J10" i="1"/>
  <c r="I10" i="1"/>
  <c r="H10" i="1"/>
  <c r="G10" i="1"/>
  <c r="F10" i="1"/>
  <c r="E10" i="1"/>
  <c r="N4" i="1"/>
  <c r="M4" i="1"/>
  <c r="L4" i="1"/>
  <c r="K4" i="1"/>
  <c r="J4" i="1"/>
  <c r="I4" i="1"/>
  <c r="H4" i="1"/>
  <c r="G4" i="1"/>
  <c r="F4" i="1"/>
  <c r="E4" i="1"/>
  <c r="N7" i="1"/>
  <c r="M7" i="1"/>
  <c r="L7" i="1"/>
  <c r="K7" i="1"/>
  <c r="J7" i="1"/>
  <c r="I7" i="1"/>
  <c r="H7" i="1"/>
  <c r="G7" i="1"/>
  <c r="F7" i="1"/>
  <c r="E7" i="1"/>
  <c r="N8" i="1"/>
  <c r="M8" i="1"/>
  <c r="L8" i="1"/>
  <c r="K8" i="1"/>
  <c r="J8" i="1"/>
  <c r="I8" i="1"/>
  <c r="H8" i="1"/>
  <c r="G8" i="1"/>
  <c r="F8" i="1"/>
  <c r="E8" i="1"/>
  <c r="N9" i="1"/>
  <c r="M9" i="1"/>
  <c r="L9" i="1"/>
  <c r="K9" i="1"/>
  <c r="J9" i="1"/>
  <c r="I9" i="1"/>
  <c r="H9" i="1"/>
  <c r="G9" i="1"/>
  <c r="F9" i="1"/>
  <c r="E9" i="1"/>
  <c r="N3" i="1"/>
  <c r="M3" i="1"/>
  <c r="L3" i="1"/>
  <c r="K3" i="1"/>
  <c r="J3" i="1"/>
  <c r="I3" i="1"/>
  <c r="H3" i="1"/>
  <c r="G3" i="1"/>
  <c r="F3" i="1"/>
  <c r="E3" i="1"/>
  <c r="N5" i="1"/>
  <c r="M5" i="1"/>
  <c r="L5" i="1"/>
  <c r="K5" i="1"/>
  <c r="J5" i="1"/>
  <c r="I5" i="1"/>
  <c r="H5" i="1"/>
  <c r="G5" i="1"/>
  <c r="F5" i="1"/>
  <c r="E5" i="1"/>
  <c r="E5" i="12" l="1"/>
  <c r="E11" i="12"/>
  <c r="E15" i="12"/>
  <c r="E4" i="12"/>
  <c r="E7" i="12"/>
  <c r="E9" i="12"/>
  <c r="E14" i="12"/>
  <c r="D7" i="1"/>
  <c r="D11" i="1"/>
  <c r="D6" i="1"/>
  <c r="D19" i="1"/>
  <c r="D5" i="1"/>
  <c r="D3" i="1"/>
  <c r="D8" i="1"/>
  <c r="D4" i="1"/>
  <c r="D12" i="1"/>
  <c r="D14" i="1"/>
  <c r="D13" i="1"/>
  <c r="D17" i="1"/>
  <c r="D18" i="1"/>
  <c r="D20" i="1"/>
  <c r="D22" i="1"/>
  <c r="D26" i="1"/>
  <c r="D30" i="1"/>
  <c r="D32" i="1"/>
  <c r="D9" i="1"/>
  <c r="D10" i="1"/>
  <c r="D15" i="1"/>
  <c r="D16" i="1"/>
  <c r="D21" i="1"/>
  <c r="D25" i="1"/>
  <c r="D29" i="1"/>
  <c r="G13" i="2" l="1"/>
  <c r="G12" i="2"/>
  <c r="G11" i="2"/>
  <c r="G10" i="2"/>
  <c r="G9" i="2"/>
  <c r="G8" i="2"/>
  <c r="G7" i="2"/>
  <c r="G6" i="2"/>
  <c r="G5" i="2"/>
  <c r="G4" i="2"/>
  <c r="G26" i="44" l="1"/>
  <c r="G25" i="44"/>
  <c r="G24" i="44"/>
  <c r="G23" i="44"/>
  <c r="G22" i="44"/>
  <c r="G21" i="44"/>
  <c r="G20" i="44"/>
  <c r="G19" i="44"/>
  <c r="G18" i="44"/>
  <c r="G17" i="44"/>
  <c r="G16" i="44"/>
  <c r="G15" i="44"/>
  <c r="G14" i="44"/>
  <c r="G13" i="44"/>
  <c r="G12" i="44"/>
  <c r="G11" i="44"/>
  <c r="G10" i="44"/>
  <c r="G9" i="44"/>
  <c r="G8" i="44"/>
  <c r="G7" i="44"/>
  <c r="G6" i="44"/>
  <c r="G5" i="44"/>
  <c r="G4" i="44"/>
  <c r="G26" i="40" l="1"/>
  <c r="G25" i="40"/>
  <c r="G24" i="40"/>
  <c r="G23" i="40"/>
  <c r="G22" i="40"/>
  <c r="G21" i="40"/>
  <c r="G20" i="40"/>
  <c r="G19" i="40"/>
  <c r="G18" i="40"/>
  <c r="G17" i="40"/>
  <c r="G16" i="40"/>
  <c r="G15" i="40"/>
  <c r="G14" i="40"/>
  <c r="G13" i="40"/>
  <c r="G12" i="40"/>
  <c r="G11" i="40"/>
  <c r="G10" i="40"/>
  <c r="G9" i="40"/>
  <c r="G8" i="40"/>
  <c r="G7" i="40"/>
  <c r="G6" i="40"/>
  <c r="G5" i="40"/>
  <c r="G4" i="40"/>
  <c r="G26" i="38"/>
  <c r="G25" i="38"/>
  <c r="G24" i="38"/>
  <c r="G23" i="38"/>
  <c r="G22" i="38"/>
  <c r="G21" i="38"/>
  <c r="G20" i="38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26" i="37"/>
  <c r="G25" i="37"/>
  <c r="G24" i="37"/>
  <c r="G23" i="37"/>
  <c r="G22" i="37"/>
  <c r="G21" i="37"/>
  <c r="G20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G26" i="36"/>
  <c r="G25" i="36"/>
  <c r="G24" i="36"/>
  <c r="G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G26" i="35"/>
  <c r="G25" i="35"/>
  <c r="G24" i="35"/>
  <c r="G23" i="35"/>
  <c r="G22" i="35"/>
  <c r="G21" i="35"/>
  <c r="G20" i="35"/>
  <c r="G19" i="35"/>
  <c r="G18" i="35"/>
  <c r="G17" i="35"/>
  <c r="G16" i="35"/>
  <c r="G15" i="35"/>
  <c r="G14" i="35"/>
  <c r="G13" i="35"/>
  <c r="G12" i="35"/>
  <c r="G11" i="35"/>
  <c r="G10" i="35"/>
  <c r="G9" i="35"/>
  <c r="G8" i="35"/>
  <c r="G7" i="35"/>
  <c r="G6" i="35"/>
  <c r="G5" i="35"/>
  <c r="G4" i="35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G8" i="33"/>
  <c r="G7" i="33"/>
  <c r="G6" i="33"/>
  <c r="G5" i="33"/>
  <c r="G4" i="33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26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9" i="31"/>
  <c r="G8" i="31"/>
  <c r="G7" i="31"/>
  <c r="G6" i="31"/>
  <c r="G5" i="31"/>
  <c r="G4" i="31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G8" i="29"/>
  <c r="G7" i="29"/>
  <c r="G6" i="29"/>
  <c r="G5" i="29"/>
  <c r="G4" i="29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26" i="42"/>
  <c r="G25" i="42"/>
  <c r="G24" i="42"/>
  <c r="G23" i="42"/>
  <c r="G22" i="42"/>
  <c r="G21" i="42"/>
  <c r="G20" i="42"/>
  <c r="G19" i="42"/>
  <c r="G18" i="42"/>
  <c r="G17" i="42"/>
  <c r="G16" i="42"/>
  <c r="G15" i="42"/>
  <c r="G14" i="42"/>
  <c r="G13" i="42"/>
  <c r="G12" i="42"/>
  <c r="G11" i="42"/>
  <c r="G10" i="42"/>
  <c r="G9" i="42"/>
  <c r="G8" i="42"/>
  <c r="G7" i="42"/>
  <c r="G6" i="42"/>
  <c r="G5" i="42"/>
  <c r="G4" i="42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11" i="5"/>
  <c r="G10" i="5"/>
  <c r="G9" i="5"/>
  <c r="G8" i="5"/>
  <c r="G7" i="5"/>
  <c r="G6" i="5"/>
  <c r="G5" i="5"/>
  <c r="G4" i="5"/>
  <c r="G15" i="4"/>
  <c r="G14" i="4"/>
  <c r="G13" i="4"/>
  <c r="G12" i="4"/>
  <c r="G11" i="4"/>
  <c r="G10" i="4"/>
  <c r="G9" i="4"/>
  <c r="G8" i="4"/>
  <c r="G7" i="4"/>
  <c r="G6" i="4"/>
  <c r="G5" i="4"/>
  <c r="G4" i="4"/>
  <c r="G13" i="3"/>
  <c r="G12" i="3"/>
  <c r="G11" i="3"/>
  <c r="G10" i="3"/>
  <c r="G9" i="3"/>
  <c r="G8" i="3"/>
  <c r="G7" i="3"/>
  <c r="G6" i="3"/>
  <c r="G5" i="3"/>
  <c r="G4" i="3"/>
  <c r="O4" i="43" l="1"/>
  <c r="O5" i="43"/>
  <c r="O6" i="43"/>
  <c r="O7" i="43"/>
  <c r="O8" i="43"/>
  <c r="O9" i="43"/>
  <c r="O10" i="43"/>
  <c r="O11" i="43"/>
  <c r="O12" i="43"/>
  <c r="O13" i="43"/>
  <c r="O14" i="43"/>
  <c r="O15" i="43"/>
  <c r="O16" i="43"/>
  <c r="O17" i="43"/>
  <c r="N4" i="43"/>
  <c r="N5" i="43"/>
  <c r="N6" i="43"/>
  <c r="N7" i="43"/>
  <c r="N8" i="43"/>
  <c r="N9" i="43"/>
  <c r="N10" i="43"/>
  <c r="N11" i="43"/>
  <c r="N12" i="43"/>
  <c r="N13" i="43"/>
  <c r="N14" i="43"/>
  <c r="N15" i="43"/>
  <c r="N16" i="43"/>
  <c r="N17" i="43"/>
  <c r="M4" i="43"/>
  <c r="M5" i="43"/>
  <c r="M6" i="43"/>
  <c r="M7" i="43"/>
  <c r="M8" i="43"/>
  <c r="M9" i="43"/>
  <c r="M10" i="43"/>
  <c r="M11" i="43"/>
  <c r="M12" i="43"/>
  <c r="M13" i="43"/>
  <c r="M14" i="43"/>
  <c r="M15" i="43"/>
  <c r="M16" i="43"/>
  <c r="M17" i="43"/>
  <c r="L4" i="43"/>
  <c r="L5" i="43"/>
  <c r="L6" i="43"/>
  <c r="L7" i="43"/>
  <c r="L8" i="43"/>
  <c r="L9" i="43"/>
  <c r="L10" i="43"/>
  <c r="L11" i="43"/>
  <c r="L12" i="43"/>
  <c r="L13" i="43"/>
  <c r="L14" i="43"/>
  <c r="L15" i="43"/>
  <c r="L16" i="43"/>
  <c r="L17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J4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I4" i="43"/>
  <c r="I5" i="43"/>
  <c r="I6" i="43"/>
  <c r="I7" i="43"/>
  <c r="I8" i="43"/>
  <c r="I9" i="43"/>
  <c r="I10" i="43"/>
  <c r="I11" i="43"/>
  <c r="I12" i="43"/>
  <c r="I13" i="43"/>
  <c r="I14" i="43"/>
  <c r="I15" i="43"/>
  <c r="I16" i="43"/>
  <c r="I17" i="43"/>
  <c r="H4" i="43"/>
  <c r="H5" i="43"/>
  <c r="H6" i="43"/>
  <c r="H7" i="43"/>
  <c r="H8" i="43"/>
  <c r="H9" i="43"/>
  <c r="H10" i="43"/>
  <c r="H11" i="43"/>
  <c r="H12" i="43"/>
  <c r="H13" i="43"/>
  <c r="H14" i="43"/>
  <c r="H15" i="43"/>
  <c r="H16" i="43"/>
  <c r="H17" i="43"/>
  <c r="G4" i="43"/>
  <c r="G5" i="43"/>
  <c r="G6" i="43"/>
  <c r="G7" i="43"/>
  <c r="G8" i="43"/>
  <c r="G9" i="43"/>
  <c r="G10" i="43"/>
  <c r="G11" i="43"/>
  <c r="G12" i="43"/>
  <c r="G13" i="43"/>
  <c r="G14" i="43"/>
  <c r="G15" i="43"/>
  <c r="G16" i="43"/>
  <c r="G17" i="43"/>
  <c r="O3" i="43"/>
  <c r="N3" i="43"/>
  <c r="M3" i="43"/>
  <c r="L3" i="43"/>
  <c r="K3" i="43"/>
  <c r="J3" i="43"/>
  <c r="I3" i="43"/>
  <c r="H3" i="43"/>
  <c r="G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3" i="43"/>
  <c r="E9" i="43" l="1"/>
  <c r="E5" i="43"/>
  <c r="E17" i="43"/>
  <c r="E13" i="43"/>
  <c r="E16" i="43"/>
  <c r="E8" i="43"/>
  <c r="E12" i="43"/>
  <c r="E4" i="43"/>
  <c r="E3" i="43"/>
  <c r="E14" i="43"/>
  <c r="E10" i="43"/>
  <c r="E6" i="43"/>
  <c r="E15" i="43"/>
  <c r="E11" i="43"/>
  <c r="E7" i="43"/>
  <c r="I17" i="13"/>
  <c r="N3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8" i="13" l="1"/>
  <c r="D4" i="13"/>
  <c r="D31" i="13"/>
  <c r="D27" i="13"/>
  <c r="D23" i="13"/>
  <c r="D19" i="13"/>
  <c r="D15" i="13"/>
  <c r="D7" i="13"/>
  <c r="D11" i="13"/>
  <c r="D29" i="13"/>
  <c r="D25" i="13"/>
  <c r="D21" i="13"/>
  <c r="D17" i="13"/>
  <c r="D13" i="13"/>
  <c r="D9" i="13"/>
  <c r="D5" i="13"/>
  <c r="D6" i="13"/>
  <c r="D10" i="13"/>
  <c r="D32" i="13"/>
  <c r="D28" i="13"/>
  <c r="D24" i="13"/>
  <c r="D20" i="13"/>
  <c r="D16" i="13"/>
  <c r="D12" i="13"/>
  <c r="D14" i="13"/>
  <c r="D30" i="13"/>
  <c r="D26" i="13"/>
  <c r="D22" i="13"/>
  <c r="D18" i="13"/>
  <c r="D3" i="13"/>
</calcChain>
</file>

<file path=xl/sharedStrings.xml><?xml version="1.0" encoding="utf-8"?>
<sst xmlns="http://schemas.openxmlformats.org/spreadsheetml/2006/main" count="753" uniqueCount="94">
  <si>
    <t>Position</t>
  </si>
  <si>
    <t>Fahrer</t>
  </si>
  <si>
    <t>Punkte</t>
  </si>
  <si>
    <t>Team</t>
  </si>
  <si>
    <t>Auto</t>
  </si>
  <si>
    <t>Beste</t>
  </si>
  <si>
    <t>Gesamt</t>
  </si>
  <si>
    <t>Abstand</t>
  </si>
  <si>
    <t>Fahrzeuge</t>
  </si>
  <si>
    <t>Setup</t>
  </si>
  <si>
    <t>Regeln</t>
  </si>
  <si>
    <t>Punktesystem</t>
  </si>
  <si>
    <t>Rahmenbedingungen</t>
  </si>
  <si>
    <t>Uhrzeit/Tag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</si>
  <si>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</si>
  <si>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</si>
  <si>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</si>
  <si>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</si>
  <si>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</si>
  <si>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</si>
  <si>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</si>
  <si>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</si>
  <si>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</si>
  <si>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</si>
  <si>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</si>
  <si>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Veranstaltung</t>
  </si>
  <si>
    <t>Grid</t>
  </si>
  <si>
    <t>Porsche Cup</t>
  </si>
  <si>
    <t>20:30-22:30, Freitag</t>
  </si>
  <si>
    <t>Setup von GSR tobination</t>
  </si>
  <si>
    <t>25-20-16-13-11-10-9-8-7-6-5-4-3-2-1</t>
  </si>
  <si>
    <t>Das Benutzen und Fahren mit Kupplung ist untersagt</t>
  </si>
  <si>
    <t>Warmup: 3 Runden</t>
  </si>
  <si>
    <t>Quali 2 Runden</t>
  </si>
  <si>
    <t>2014 Porsche Turbo (Klasse R826)</t>
  </si>
  <si>
    <t>CHRISSI VFB</t>
  </si>
  <si>
    <t>911 Turbo '14</t>
  </si>
  <si>
    <t>GSR Norbi</t>
  </si>
  <si>
    <t>GSR HAYABUSA</t>
  </si>
  <si>
    <t>GSR GecKo</t>
  </si>
  <si>
    <t>SPisch</t>
  </si>
  <si>
    <t>GSR tobination</t>
  </si>
  <si>
    <t>GSR Phantom</t>
  </si>
  <si>
    <t>xRaptus DC</t>
  </si>
  <si>
    <t>GSR Agroh3knie</t>
  </si>
  <si>
    <t>o GSR STOCK o</t>
  </si>
  <si>
    <t>Pegasusstar639</t>
  </si>
  <si>
    <t>Nürburgring GP(40 Runden)</t>
  </si>
  <si>
    <t>Schnellste Runde: CHRISSI VFB</t>
  </si>
  <si>
    <t>Gulf Young Generation</t>
  </si>
  <si>
    <t>Scuderia Bazinga</t>
  </si>
  <si>
    <t>R-Type Racing</t>
  </si>
  <si>
    <t>Groven Racing</t>
  </si>
  <si>
    <t>Backwood Racing</t>
  </si>
  <si>
    <t>eGo Road Runner</t>
  </si>
  <si>
    <t>HNT ricco293</t>
  </si>
  <si>
    <t>DNF</t>
  </si>
  <si>
    <t>VR-Racing</t>
  </si>
  <si>
    <t>Schnellste Runde: eGo Road Runner</t>
  </si>
  <si>
    <t>Spa Francorchamps (35 Runden)</t>
  </si>
  <si>
    <t>Virginia Gesamt (40 Runden)</t>
  </si>
  <si>
    <t>Hockenheim GP (40 Runden)</t>
  </si>
  <si>
    <t>Silverstone GP (40 Runden)</t>
  </si>
  <si>
    <t>Monza GP (40 Runden)</t>
  </si>
  <si>
    <t>Catalunya GP (40 Runden)</t>
  </si>
  <si>
    <t>Daytona Sportwagenstrecke (40 Runden)</t>
  </si>
  <si>
    <t>Nordschleife gesamt (9 Runden)</t>
  </si>
  <si>
    <t>Road America Gesamt (40 Runden)</t>
  </si>
  <si>
    <t>02:24,844!</t>
  </si>
  <si>
    <t>02:36,220!</t>
  </si>
  <si>
    <t>02:36,116!</t>
  </si>
  <si>
    <t>Explosivo93</t>
  </si>
  <si>
    <t>xLMSx Verde</t>
  </si>
  <si>
    <t>GSR RKC75</t>
  </si>
  <si>
    <t>Schnellste Runde: HNT ricco293</t>
  </si>
  <si>
    <t xml:space="preserve"> Porsche Cup: Lauf 1 von 10</t>
  </si>
  <si>
    <t>Porsche Cup: Lauf 2 von 10</t>
  </si>
  <si>
    <t>Porsche Cup: Lauf 3 von 10</t>
  </si>
  <si>
    <t>Porsche Cup: Lauf 4 von 10</t>
  </si>
  <si>
    <t>Porsche Cup: Lauf 5 von 10</t>
  </si>
  <si>
    <t>Porsche Cup: Lauf 6 von 10</t>
  </si>
  <si>
    <t>Porsche Cup: Lauf 7 von 10</t>
  </si>
  <si>
    <t>Porsche Cup: Lauf 8 von 10</t>
  </si>
  <si>
    <t>Porsche Cup: Lauf 9 von 10</t>
  </si>
  <si>
    <t>Porsche Cup: Lauf 10 von 10</t>
  </si>
  <si>
    <t>GSR Norbi | GSR Phantom</t>
  </si>
  <si>
    <t>GSR tobination | o GSR STOCK o</t>
  </si>
  <si>
    <t>GSR HAYABUSA | GSR GECKO</t>
  </si>
  <si>
    <t>HNT ricco293 | xLMSxVerde</t>
  </si>
  <si>
    <t>CHRISSI VfB | xRaptus DC</t>
  </si>
  <si>
    <t>GSR Agroh3knie | SPisch</t>
  </si>
  <si>
    <t>Schnellste Runde: GSR OnkelGnom(Gastfahrer)</t>
  </si>
  <si>
    <t>Teamwertung</t>
  </si>
  <si>
    <t>Fahrerwertung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</si>
</sst>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:ss.000"/>
    <numFmt numFmtId="165" formatCode="h:mm:ss;@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D9"/>
  <sheetViews>
    <sheetView workbookViewId="0">
      <selection activeCell="D2" sqref="D2"/>
    </sheetView>
  </sheetViews>
  <sheetFormatPr baseColWidth="10" defaultColWidth="42.42578125" defaultRowHeight="15" x14ac:dyDescent="0.25"/>
  <cols>
    <col min="1" max="1" width="8.42578125" customWidth="1"/>
    <col min="3" max="3" width="50.42578125" customWidth="1"/>
    <col min="5" max="5" width="62.85546875" customWidth="1"/>
  </cols>
  <sheetData>
    <row r="2" spans="2:4" x14ac:dyDescent="0.25">
      <c r="B2" t="s">
        <v>25</v>
      </c>
      <c r="C2" t="s">
        <v>27</v>
      </c>
    </row>
    <row r="3" spans="2:4" x14ac:dyDescent="0.25">
      <c r="B3" t="s">
        <v>13</v>
      </c>
      <c r="C3" t="s">
        <v>28</v>
      </c>
    </row>
    <row r="4" spans="2:4" x14ac:dyDescent="0.25">
      <c r="B4" t="s">
        <v>8</v>
      </c>
      <c r="C4" t="s">
        <v>34</v>
      </c>
    </row>
    <row r="5" spans="2:4" x14ac:dyDescent="0.25">
      <c r="B5" t="s">
        <v>9</v>
      </c>
      <c r="C5" t="s">
        <v>29</v>
      </c>
    </row>
    <row r="6" spans="2:4" x14ac:dyDescent="0.25">
      <c r="B6" t="s">
        <v>11</v>
      </c>
      <c r="C6" t="s">
        <v>30</v>
      </c>
    </row>
    <row r="7" spans="2:4" x14ac:dyDescent="0.25">
      <c r="B7" t="s">
        <v>10</v>
      </c>
      <c r="C7" t="s">
        <v>31</v>
      </c>
    </row>
    <row r="8" spans="2:4" x14ac:dyDescent="0.25">
      <c r="B8" t="s">
        <v>12</v>
      </c>
      <c r="C8" t="s">
        <v>32</v>
      </c>
      <c r="D8" t="s">
        <v>33</v>
      </c>
    </row>
    <row r="9" spans="2:4" x14ac:dyDescent="0.25">
      <c r="B9" s="2" t="s">
        <v>24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H33"/>
  <sheetViews>
    <sheetView tabSelected="1" workbookViewId="0"/>
  </sheetViews>
  <sheetFormatPr baseColWidth="10" defaultRowHeight="15" x14ac:dyDescent="0.25"/>
  <cols>
    <col min="1" max="1" width="14.140625" bestFit="1" customWidth="1"/>
    <col min="3" max="3" width="22.5703125" customWidth="1"/>
    <col min="6" max="6" width="16.42578125" bestFit="1" customWidth="1"/>
  </cols>
  <sheetData>
    <row r="1" spans="1:34" x14ac:dyDescent="0.25">
      <c r="A1" t="s">
        <v>93</v>
      </c>
    </row>
    <row r="2" spans="1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x14ac:dyDescent="0.25">
      <c r="B3" s="1">
        <v>1</v>
      </c>
      <c r="C3" s="1" t="s">
        <v>37</v>
      </c>
      <c r="D3" s="1">
        <f t="shared" ref="D3:D32" si="0">SUM(E3:AH3)</f>
        <v>76</v>
      </c>
      <c r="E3" s="1">
        <f>IF(ISNA(VLOOKUP(C3,'Rennen 1'!$C$3:$I$26,7,FALSE)),"-",VLOOKUP(C3,'Rennen 1'!$C$3:$I$26,7,FALSE))</f>
        <v>20</v>
      </c>
      <c r="F3" s="1">
        <f>IF(ISNA(VLOOKUP(C3,'Rennen 2'!$C$3:$I$26,7,FALSE)),"-",VLOOKUP(C3,'Rennen 2'!$C$3:$I$26,7,FALSE))</f>
        <v>11</v>
      </c>
      <c r="G3" s="1">
        <f>IF(ISNA(VLOOKUP(C3,'Rennen 3'!$C$3:$I$26,7,FALSE)),"-",VLOOKUP(C3,'Rennen 3'!$C$3:$I$26,7,FALSE))</f>
        <v>20</v>
      </c>
      <c r="H3" s="1">
        <f>IF(ISNA(VLOOKUP(C3,'Rennen 4'!$C$3:$I$26,7,FALSE)),"-",VLOOKUP(C3,'Rennen 4'!$C$3:$I$26,7,FALSE))</f>
        <v>25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4" x14ac:dyDescent="0.25">
      <c r="B4" s="1">
        <v>2</v>
      </c>
      <c r="C4" s="1" t="s">
        <v>41</v>
      </c>
      <c r="D4" s="1">
        <f t="shared" si="0"/>
        <v>58</v>
      </c>
      <c r="E4" s="1">
        <f>IF(ISNA(VLOOKUP(C4,'Rennen 1'!$C$3:$I$26,7,FALSE)),"-",VLOOKUP(C4,'Rennen 1'!$C$3:$I$26,7,FALSE))</f>
        <v>10</v>
      </c>
      <c r="F4" s="1">
        <f>IF(ISNA(VLOOKUP(C4,'Rennen 2'!$C$3:$I$26,7,FALSE)),"-",VLOOKUP(C4,'Rennen 2'!$C$3:$I$26,7,FALSE))</f>
        <v>20</v>
      </c>
      <c r="G4" s="1">
        <f>IF(ISNA(VLOOKUP(C4,'Rennen 3'!$C$3:$I$26,7,FALSE)),"-",VLOOKUP(C4,'Rennen 3'!$C$3:$I$26,7,FALSE))</f>
        <v>8</v>
      </c>
      <c r="H4" s="1">
        <f>IF(ISNA(VLOOKUP(C4,'Rennen 4'!$C$3:$I$26,7,FALSE)),"-",VLOOKUP(C4,'Rennen 4'!$C$3:$I$26,7,FALSE))</f>
        <v>20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1:34" x14ac:dyDescent="0.25">
      <c r="B5" s="1">
        <v>3</v>
      </c>
      <c r="C5" s="1" t="s">
        <v>35</v>
      </c>
      <c r="D5" s="1">
        <f t="shared" si="0"/>
        <v>57</v>
      </c>
      <c r="E5" s="1">
        <f>IF(ISNA(VLOOKUP(C5,'Rennen 1'!$C$3:$I$26,7,FALSE)),"-",VLOOKUP(C5,'Rennen 1'!$C$3:$I$26,7,FALSE))</f>
        <v>25</v>
      </c>
      <c r="F5" s="1" t="str">
        <f>IF(ISNA(VLOOKUP(C5,'Rennen 2'!$C$3:$I$26,7,FALSE)),"-",VLOOKUP(C5,'Rennen 2'!$C$3:$I$26,7,FALSE))</f>
        <v>-</v>
      </c>
      <c r="G5" s="1">
        <f>IF(ISNA(VLOOKUP(C5,'Rennen 3'!$C$3:$I$26,7,FALSE)),"-",VLOOKUP(C5,'Rennen 3'!$C$3:$I$26,7,FALSE))</f>
        <v>16</v>
      </c>
      <c r="H5" s="1">
        <f>IF(ISNA(VLOOKUP(C5,'Rennen 4'!$C$3:$I$26,7,FALSE)),"-",VLOOKUP(C5,'Rennen 4'!$C$3:$I$26,7,FALSE))</f>
        <v>16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x14ac:dyDescent="0.25">
      <c r="B6" s="1">
        <v>4</v>
      </c>
      <c r="C6" s="1" t="s">
        <v>55</v>
      </c>
      <c r="D6" s="1">
        <f t="shared" si="0"/>
        <v>44</v>
      </c>
      <c r="E6" s="1" t="str">
        <f>IF(ISNA(VLOOKUP(C6,'Rennen 1'!$C$3:$I$26,7,FALSE)),"-",VLOOKUP(C6,'Rennen 1'!$C$3:$I$26,7,FALSE))</f>
        <v>-</v>
      </c>
      <c r="F6" s="1">
        <f>IF(ISNA(VLOOKUP(C6,'Rennen 2'!$C$3:$I$26,7,FALSE)),"-",VLOOKUP(C6,'Rennen 2'!$C$3:$I$26,7,FALSE))</f>
        <v>13</v>
      </c>
      <c r="G6" s="1">
        <f>IF(ISNA(VLOOKUP(C6,'Rennen 3'!$C$3:$I$26,7,FALSE)),"-",VLOOKUP(C6,'Rennen 3'!$C$3:$I$26,7,FALSE))</f>
        <v>25</v>
      </c>
      <c r="H6" s="1">
        <f>IF(ISNA(VLOOKUP(C6,'Rennen 4'!$C$3:$I$26,7,FALSE)),"-",VLOOKUP(C6,'Rennen 4'!$C$3:$I$26,7,FALSE))</f>
        <v>6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x14ac:dyDescent="0.25">
      <c r="B7" s="1">
        <v>5</v>
      </c>
      <c r="C7" s="1" t="s">
        <v>40</v>
      </c>
      <c r="D7" s="1">
        <f t="shared" si="0"/>
        <v>43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5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 x14ac:dyDescent="0.25">
      <c r="B8" s="1">
        <v>6</v>
      </c>
      <c r="C8" s="1" t="s">
        <v>39</v>
      </c>
      <c r="D8" s="1">
        <f t="shared" si="0"/>
        <v>41</v>
      </c>
      <c r="E8" s="1">
        <f>IF(ISNA(VLOOKUP(C8,'Rennen 1'!$C$3:$I$26,7,FALSE)),"-",VLOOKUP(C8,'Rennen 1'!$C$3:$I$26,7,FALSE))</f>
        <v>13</v>
      </c>
      <c r="F8" s="1">
        <f>IF(ISNA(VLOOKUP(C8,'Rennen 2'!$C$3:$I$26,7,FALSE)),"-",VLOOKUP(C8,'Rennen 2'!$C$3:$I$26,7,FALSE))</f>
        <v>9</v>
      </c>
      <c r="G8" s="1">
        <f>IF(ISNA(VLOOKUP(C8,'Rennen 3'!$C$3:$I$26,7,FALSE)),"-",VLOOKUP(C8,'Rennen 3'!$C$3:$I$26,7,FALSE))</f>
        <v>6</v>
      </c>
      <c r="H8" s="1">
        <f>IF(ISNA(VLOOKUP(C8,'Rennen 4'!$C$3:$I$26,7,FALSE)),"-",VLOOKUP(C8,'Rennen 4'!$C$3:$I$26,7,FALSE))</f>
        <v>13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1:34" x14ac:dyDescent="0.25">
      <c r="B9" s="1">
        <v>7</v>
      </c>
      <c r="C9" s="1" t="s">
        <v>38</v>
      </c>
      <c r="D9" s="1">
        <f t="shared" si="0"/>
        <v>37</v>
      </c>
      <c r="E9" s="1">
        <f>IF(ISNA(VLOOKUP(C9,'Rennen 1'!$C$3:$I$26,7,FALSE)),"-",VLOOKUP(C9,'Rennen 1'!$C$3:$I$26,7,FALSE))</f>
        <v>16</v>
      </c>
      <c r="F9" s="1">
        <f>IF(ISNA(VLOOKUP(C9,'Rennen 2'!$C$3:$I$26,7,FALSE)),"-",VLOOKUP(C9,'Rennen 2'!$C$3:$I$26,7,FALSE))</f>
        <v>10</v>
      </c>
      <c r="G9" s="1">
        <f>IF(ISNA(VLOOKUP(C9,'Rennen 3'!$C$3:$I$26,7,FALSE)),"-",VLOOKUP(C9,'Rennen 3'!$C$3:$I$26,7,FALSE))</f>
        <v>7</v>
      </c>
      <c r="H9" s="1">
        <f>IF(ISNA(VLOOKUP(C9,'Rennen 4'!$C$3:$I$26,7,FALSE)),"-",VLOOKUP(C9,'Rennen 4'!$C$3:$I$26,7,FALSE))</f>
        <v>4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x14ac:dyDescent="0.25">
      <c r="B10" s="1">
        <v>8</v>
      </c>
      <c r="C10" s="1" t="s">
        <v>42</v>
      </c>
      <c r="D10" s="1">
        <f t="shared" si="0"/>
        <v>37</v>
      </c>
      <c r="E10" s="1">
        <f>IF(ISNA(VLOOKUP(C10,'Rennen 1'!$C$3:$I$26,7,FALSE)),"-",VLOOKUP(C10,'Rennen 1'!$C$3:$I$26,7,FALSE))</f>
        <v>9</v>
      </c>
      <c r="F10" s="1">
        <f>IF(ISNA(VLOOKUP(C10,'Rennen 2'!$C$3:$I$26,7,FALSE)),"-",VLOOKUP(C10,'Rennen 2'!$C$3:$I$26,7,FALSE))</f>
        <v>7</v>
      </c>
      <c r="G10" s="1">
        <f>IF(ISNA(VLOOKUP(C10,'Rennen 3'!$C$3:$I$26,7,FALSE)),"-",VLOOKUP(C10,'Rennen 3'!$C$3:$I$26,7,FALSE))</f>
        <v>10</v>
      </c>
      <c r="H10" s="1">
        <f>IF(ISNA(VLOOKUP(C10,'Rennen 4'!$C$3:$I$26,7,FALSE)),"-",VLOOKUP(C10,'Rennen 4'!$C$3:$I$26,7,FALSE))</f>
        <v>11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1:34" x14ac:dyDescent="0.25">
      <c r="B11" s="1">
        <v>9</v>
      </c>
      <c r="C11" s="1" t="s">
        <v>44</v>
      </c>
      <c r="D11" s="1">
        <f t="shared" si="0"/>
        <v>29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>
        <f>IF(ISNA(VLOOKUP(C11,'Rennen 4'!$C$3:$I$26,7,FALSE)),"-",VLOOKUP(C11,'Rennen 4'!$C$3:$I$26,7,FALSE))</f>
        <v>10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1:34" x14ac:dyDescent="0.25">
      <c r="B12" s="1">
        <v>10</v>
      </c>
      <c r="C12" s="1" t="s">
        <v>43</v>
      </c>
      <c r="D12" s="1">
        <f t="shared" si="0"/>
        <v>25</v>
      </c>
      <c r="E12" s="1">
        <f>IF(ISNA(VLOOKUP(C12,'Rennen 1'!$C$3:$I$26,7,FALSE)),"-",VLOOKUP(C12,'Rennen 1'!$C$3:$I$26,7,FALSE))</f>
        <v>8</v>
      </c>
      <c r="F12" s="1">
        <f>IF(ISNA(VLOOKUP(C12,'Rennen 2'!$C$3:$I$26,7,FALSE)),"-",VLOOKUP(C12,'Rennen 2'!$C$3:$I$26,7,FALSE))</f>
        <v>4</v>
      </c>
      <c r="G12" s="1">
        <f>IF(ISNA(VLOOKUP(C12,'Rennen 3'!$C$3:$I$26,7,FALSE)),"-",VLOOKUP(C12,'Rennen 3'!$C$3:$I$26,7,FALSE))</f>
        <v>13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1:34" x14ac:dyDescent="0.25">
      <c r="B13" s="1">
        <v>11</v>
      </c>
      <c r="C13" s="1" t="s">
        <v>54</v>
      </c>
      <c r="D13" s="1">
        <f t="shared" si="0"/>
        <v>25</v>
      </c>
      <c r="E13" s="1" t="str">
        <f>IF(ISNA(VLOOKUP(C13,'Rennen 1'!$C$3:$I$26,7,FALSE)),"-",VLOOKUP(C13,'Rennen 1'!$C$3:$I$26,7,FALSE))</f>
        <v>-</v>
      </c>
      <c r="F13" s="1">
        <f>IF(ISNA(VLOOKUP(C13,'Rennen 2'!$C$3:$I$26,7,FALSE)),"-",VLOOKUP(C13,'Rennen 2'!$C$3:$I$26,7,FALSE))</f>
        <v>25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1:34" x14ac:dyDescent="0.25">
      <c r="B14" s="1">
        <v>12</v>
      </c>
      <c r="C14" s="1" t="s">
        <v>45</v>
      </c>
      <c r="D14" s="1">
        <f t="shared" si="0"/>
        <v>23</v>
      </c>
      <c r="E14" s="1">
        <f>IF(ISNA(VLOOKUP(C14,'Rennen 1'!$C$3:$I$26,7,FALSE)),"-",VLOOKUP(C14,'Rennen 1'!$C$3:$I$26,7,FALSE))</f>
        <v>6</v>
      </c>
      <c r="F14" s="1">
        <f>IF(ISNA(VLOOKUP(C14,'Rennen 2'!$C$3:$I$26,7,FALSE)),"-",VLOOKUP(C14,'Rennen 2'!$C$3:$I$26,7,FALSE))</f>
        <v>6</v>
      </c>
      <c r="G14" s="1">
        <f>IF(ISNA(VLOOKUP(C14,'Rennen 3'!$C$3:$I$26,7,FALSE)),"-",VLOOKUP(C14,'Rennen 3'!$C$3:$I$26,7,FALSE))</f>
        <v>3</v>
      </c>
      <c r="H14" s="1">
        <f>IF(ISNA(VLOOKUP(C14,'Rennen 4'!$C$3:$I$26,7,FALSE)),"-",VLOOKUP(C14,'Rennen 4'!$C$3:$I$26,7,FALSE))</f>
        <v>8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34" x14ac:dyDescent="0.25">
      <c r="B15" s="1">
        <v>13</v>
      </c>
      <c r="C15" s="1" t="s">
        <v>46</v>
      </c>
      <c r="D15" s="1">
        <f t="shared" si="0"/>
        <v>17</v>
      </c>
      <c r="E15" s="1">
        <f>IF(ISNA(VLOOKUP(C15,'Rennen 1'!$C$3:$I$26,7,FALSE)),"-",VLOOKUP(C15,'Rennen 1'!$C$3:$I$26,7,FALSE))</f>
        <v>5</v>
      </c>
      <c r="F15" s="1">
        <f>IF(ISNA(VLOOKUP(C15,'Rennen 2'!$C$3:$I$26,7,FALSE)),"-",VLOOKUP(C15,'Rennen 2'!$C$3:$I$26,7,FALSE))</f>
        <v>5</v>
      </c>
      <c r="G15" s="1" t="str">
        <f>IF(ISNA(VLOOKUP(C15,'Rennen 3'!$C$3:$I$26,7,FALSE)),"-",VLOOKUP(C15,'Rennen 3'!$C$3:$I$26,7,FALSE))</f>
        <v>-</v>
      </c>
      <c r="H15" s="1">
        <f>IF(ISNA(VLOOKUP(C15,'Rennen 4'!$C$3:$I$26,7,FALSE)),"-",VLOOKUP(C15,'Rennen 4'!$C$3:$I$26,7,FALSE))</f>
        <v>7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1:34" x14ac:dyDescent="0.25">
      <c r="B16" s="1">
        <v>14</v>
      </c>
      <c r="C16" s="1" t="s">
        <v>72</v>
      </c>
      <c r="D16" s="1">
        <f t="shared" si="0"/>
        <v>14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5</v>
      </c>
      <c r="H16" s="1">
        <f>IF(ISNA(VLOOKUP(C16,'Rennen 4'!$C$3:$I$26,7,FALSE)),"-",VLOOKUP(C16,'Rennen 4'!$C$3:$I$26,7,FALSE))</f>
        <v>9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 t="s">
        <v>71</v>
      </c>
      <c r="D17" s="1">
        <f t="shared" si="0"/>
        <v>9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9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 t="s">
        <v>73</v>
      </c>
      <c r="D18" s="1">
        <f t="shared" si="0"/>
        <v>2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>
        <f>IF(ISNA(VLOOKUP(C18,'Rennen 3'!$C$3:$I$26,7,FALSE)),"-",VLOOKUP(C18,'Rennen 3'!$C$3:$I$26,7,FALSE))</f>
        <v>2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2:2" x14ac:dyDescent="0.25">
      <c r="B33" s="2" t="s">
        <v>24</v>
      </c>
    </row>
  </sheetData>
  <sortState ref="C3:AH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AH32"/>
  <sheetViews>
    <sheetView workbookViewId="0">
      <selection activeCell="C2" sqref="C2:AH3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2:34" x14ac:dyDescent="0.25">
      <c r="B3" s="1">
        <v>1</v>
      </c>
      <c r="C3" s="1" t="s">
        <v>35</v>
      </c>
      <c r="D3" s="1">
        <f>SUM(E3:AH3)</f>
        <v>57</v>
      </c>
      <c r="E3" s="1">
        <f>IF(ISNA(VLOOKUP(C3,'Rennen 1'!$C$3:$I$26,7,FALSE)),"-",VLOOKUP(C3,'Rennen 1'!$C$3:$I$26,7,FALSE))</f>
        <v>25</v>
      </c>
      <c r="F3" s="1" t="str">
        <f>IF(ISNA(VLOOKUP(C3,'Rennen 2'!$C$3:$I$26,7,FALSE)),"-",VLOOKUP(C3,'Rennen 2'!$C$3:$I$26,7,FALSE))</f>
        <v>-</v>
      </c>
      <c r="G3" s="1">
        <f>IF(ISNA(VLOOKUP(C3,'Rennen 3'!$C$3:$I$26,7,FALSE)),"-",VLOOKUP(C3,'Rennen 3'!$C$3:$I$26,7,FALSE))</f>
        <v>16</v>
      </c>
      <c r="H3" s="1">
        <f>IF(ISNA(VLOOKUP(C3,'Rennen 4'!$C$3:$I$26,7,FALSE)),"-",VLOOKUP(C3,'Rennen 4'!$C$3:$I$26,7,FALSE))</f>
        <v>16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2:34" x14ac:dyDescent="0.25">
      <c r="B4" s="1">
        <v>2</v>
      </c>
      <c r="C4" s="1" t="s">
        <v>37</v>
      </c>
      <c r="D4" s="1">
        <f t="shared" ref="D4:D32" si="0">SUM(E4:AH4)</f>
        <v>76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>
        <f>IF(ISNA(VLOOKUP(C4,'Rennen 4'!$C$3:$I$26,7,FALSE)),"-",VLOOKUP(C4,'Rennen 4'!$C$3:$I$26,7,FALSE))</f>
        <v>25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2:34" x14ac:dyDescent="0.25">
      <c r="B5" s="1">
        <v>3</v>
      </c>
      <c r="C5" s="1" t="s">
        <v>38</v>
      </c>
      <c r="D5" s="1">
        <f t="shared" si="0"/>
        <v>37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10</v>
      </c>
      <c r="G5" s="1">
        <f>IF(ISNA(VLOOKUP(C5,'Rennen 3'!$C$3:$I$26,7,FALSE)),"-",VLOOKUP(C5,'Rennen 3'!$C$3:$I$26,7,FALSE))</f>
        <v>7</v>
      </c>
      <c r="H5" s="1">
        <f>IF(ISNA(VLOOKUP(C5,'Rennen 4'!$C$3:$I$26,7,FALSE)),"-",VLOOKUP(C5,'Rennen 4'!$C$3:$I$26,7,FALSE))</f>
        <v>4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2:34" x14ac:dyDescent="0.25">
      <c r="B6" s="1">
        <v>4</v>
      </c>
      <c r="C6" s="1" t="s">
        <v>39</v>
      </c>
      <c r="D6" s="1">
        <f t="shared" si="0"/>
        <v>41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9</v>
      </c>
      <c r="G6" s="1">
        <f>IF(ISNA(VLOOKUP(C6,'Rennen 3'!$C$3:$I$26,7,FALSE)),"-",VLOOKUP(C6,'Rennen 3'!$C$3:$I$26,7,FALSE))</f>
        <v>6</v>
      </c>
      <c r="H6" s="1">
        <f>IF(ISNA(VLOOKUP(C6,'Rennen 4'!$C$3:$I$26,7,FALSE)),"-",VLOOKUP(C6,'Rennen 4'!$C$3:$I$26,7,FALSE))</f>
        <v>13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2:34" x14ac:dyDescent="0.25">
      <c r="B7" s="1">
        <v>5</v>
      </c>
      <c r="C7" s="1" t="s">
        <v>40</v>
      </c>
      <c r="D7" s="1">
        <f t="shared" si="0"/>
        <v>43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5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2:34" x14ac:dyDescent="0.25">
      <c r="B8" s="1">
        <v>6</v>
      </c>
      <c r="C8" s="1" t="s">
        <v>41</v>
      </c>
      <c r="D8" s="1">
        <f t="shared" si="0"/>
        <v>58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20</v>
      </c>
      <c r="G8" s="1">
        <f>IF(ISNA(VLOOKUP(C8,'Rennen 3'!$C$3:$I$26,7,FALSE)),"-",VLOOKUP(C8,'Rennen 3'!$C$3:$I$26,7,FALSE))</f>
        <v>8</v>
      </c>
      <c r="H8" s="1">
        <f>IF(ISNA(VLOOKUP(C8,'Rennen 4'!$C$3:$I$26,7,FALSE)),"-",VLOOKUP(C8,'Rennen 4'!$C$3:$I$26,7,FALSE))</f>
        <v>20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2:34" x14ac:dyDescent="0.25">
      <c r="B9" s="1">
        <v>7</v>
      </c>
      <c r="C9" s="1" t="s">
        <v>42</v>
      </c>
      <c r="D9" s="1">
        <f t="shared" si="0"/>
        <v>37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7</v>
      </c>
      <c r="G9" s="1">
        <f>IF(ISNA(VLOOKUP(C9,'Rennen 3'!$C$3:$I$26,7,FALSE)),"-",VLOOKUP(C9,'Rennen 3'!$C$3:$I$26,7,FALSE))</f>
        <v>10</v>
      </c>
      <c r="H9" s="1">
        <f>IF(ISNA(VLOOKUP(C9,'Rennen 4'!$C$3:$I$26,7,FALSE)),"-",VLOOKUP(C9,'Rennen 4'!$C$3:$I$26,7,FALSE))</f>
        <v>11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2:34" x14ac:dyDescent="0.25">
      <c r="B10" s="1">
        <v>8</v>
      </c>
      <c r="C10" s="1" t="s">
        <v>43</v>
      </c>
      <c r="D10" s="1">
        <f t="shared" si="0"/>
        <v>25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4</v>
      </c>
      <c r="G10" s="1">
        <f>IF(ISNA(VLOOKUP(C10,'Rennen 3'!$C$3:$I$26,7,FALSE)),"-",VLOOKUP(C10,'Rennen 3'!$C$3:$I$26,7,FALSE))</f>
        <v>13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2:34" x14ac:dyDescent="0.25">
      <c r="B11" s="1">
        <v>9</v>
      </c>
      <c r="C11" s="1" t="s">
        <v>44</v>
      </c>
      <c r="D11" s="1">
        <f t="shared" si="0"/>
        <v>29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>
        <f>IF(ISNA(VLOOKUP(C11,'Rennen 4'!$C$3:$I$26,7,FALSE)),"-",VLOOKUP(C11,'Rennen 4'!$C$3:$I$26,7,FALSE))</f>
        <v>10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2:34" x14ac:dyDescent="0.25">
      <c r="B12" s="1">
        <v>10</v>
      </c>
      <c r="C12" s="1" t="s">
        <v>45</v>
      </c>
      <c r="D12" s="1">
        <f t="shared" si="0"/>
        <v>23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3</v>
      </c>
      <c r="H12" s="1">
        <f>IF(ISNA(VLOOKUP(C12,'Rennen 4'!$C$3:$I$26,7,FALSE)),"-",VLOOKUP(C12,'Rennen 4'!$C$3:$I$26,7,FALSE))</f>
        <v>8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2:34" x14ac:dyDescent="0.25">
      <c r="B13" s="1">
        <v>11</v>
      </c>
      <c r="C13" s="1" t="s">
        <v>46</v>
      </c>
      <c r="D13" s="1">
        <f t="shared" si="0"/>
        <v>17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5</v>
      </c>
      <c r="G13" s="1" t="str">
        <f>IF(ISNA(VLOOKUP(C13,'Rennen 3'!$C$3:$I$26,7,FALSE)),"-",VLOOKUP(C13,'Rennen 3'!$C$3:$I$26,7,FALSE))</f>
        <v>-</v>
      </c>
      <c r="H13" s="1">
        <f>IF(ISNA(VLOOKUP(C13,'Rennen 4'!$C$3:$I$26,7,FALSE)),"-",VLOOKUP(C13,'Rennen 4'!$C$3:$I$26,7,FALSE))</f>
        <v>7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2:34" x14ac:dyDescent="0.25">
      <c r="B14" s="1">
        <v>12</v>
      </c>
      <c r="C14" s="1" t="s">
        <v>54</v>
      </c>
      <c r="D14" s="1">
        <f t="shared" si="0"/>
        <v>25</v>
      </c>
      <c r="E14" s="1" t="str">
        <f>IF(ISNA(VLOOKUP(C14,'Rennen 1'!$C$3:$I$26,7,FALSE)),"-",VLOOKUP(C14,'Rennen 1'!$C$3:$I$26,7,FALSE))</f>
        <v>-</v>
      </c>
      <c r="F14" s="1">
        <f>IF(ISNA(VLOOKUP(C14,'Rennen 2'!$C$3:$I$26,7,FALSE)),"-",VLOOKUP(C14,'Rennen 2'!$C$3:$I$26,7,FALSE))</f>
        <v>25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1">
        <v>13</v>
      </c>
      <c r="C15" s="1" t="s">
        <v>55</v>
      </c>
      <c r="D15" s="1">
        <f t="shared" si="0"/>
        <v>44</v>
      </c>
      <c r="E15" s="1" t="str">
        <f>IF(ISNA(VLOOKUP(C15,'Rennen 1'!$C$3:$I$26,7,FALSE)),"-",VLOOKUP(C15,'Rennen 1'!$C$3:$I$26,7,FALSE))</f>
        <v>-</v>
      </c>
      <c r="F15" s="1">
        <f>IF(ISNA(VLOOKUP(C15,'Rennen 2'!$C$3:$I$26,7,FALSE)),"-",VLOOKUP(C15,'Rennen 2'!$C$3:$I$26,7,FALSE))</f>
        <v>13</v>
      </c>
      <c r="G15" s="1">
        <f>IF(ISNA(VLOOKUP(C15,'Rennen 3'!$C$3:$I$26,7,FALSE)),"-",VLOOKUP(C15,'Rennen 3'!$C$3:$I$26,7,FALSE))</f>
        <v>25</v>
      </c>
      <c r="H15" s="1">
        <f>IF(ISNA(VLOOKUP(C15,'Rennen 4'!$C$3:$I$26,7,FALSE)),"-",VLOOKUP(C15,'Rennen 4'!$C$3:$I$26,7,FALSE))</f>
        <v>6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1">
        <v>14</v>
      </c>
      <c r="C16" s="1" t="s">
        <v>71</v>
      </c>
      <c r="D16" s="1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 t="s">
        <v>72</v>
      </c>
      <c r="D17" s="1">
        <f t="shared" si="0"/>
        <v>14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>
        <f>IF(ISNA(VLOOKUP(C17,'Rennen 4'!$C$3:$I$26,7,FALSE)),"-",VLOOKUP(C17,'Rennen 4'!$C$3:$I$26,7,FALSE))</f>
        <v>9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 t="s">
        <v>73</v>
      </c>
      <c r="D18" s="1">
        <f t="shared" si="0"/>
        <v>2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>
        <f>IF(ISNA(VLOOKUP(C18,'Rennen 3'!$C$3:$I$26,7,FALSE)),"-",VLOOKUP(C18,'Rennen 3'!$C$3:$I$26,7,FALSE))</f>
        <v>2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I17"/>
  <sheetViews>
    <sheetView workbookViewId="0"/>
  </sheetViews>
  <sheetFormatPr baseColWidth="10" defaultRowHeight="15" x14ac:dyDescent="0.25"/>
  <cols>
    <col min="1" max="1" width="13.28515625" bestFit="1" customWidth="1"/>
    <col min="3" max="3" width="24.28515625" customWidth="1"/>
    <col min="4" max="4" width="38.7109375" customWidth="1"/>
  </cols>
  <sheetData>
    <row r="1" spans="1:35" x14ac:dyDescent="0.25">
      <c r="A1" t="s">
        <v>92</v>
      </c>
    </row>
    <row r="2" spans="1:35" x14ac:dyDescent="0.25">
      <c r="B2" s="1" t="s">
        <v>0</v>
      </c>
      <c r="C2" s="1" t="s">
        <v>3</v>
      </c>
      <c r="D2" s="1" t="s">
        <v>1</v>
      </c>
      <c r="E2" s="1" t="s">
        <v>2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x14ac:dyDescent="0.25">
      <c r="B3" s="1">
        <v>1</v>
      </c>
      <c r="C3" s="1" t="s">
        <v>50</v>
      </c>
      <c r="D3" s="1" t="s">
        <v>85</v>
      </c>
      <c r="E3" s="1">
        <f t="shared" ref="E3:E17" si="0">SUM(F3:O3)</f>
        <v>113</v>
      </c>
      <c r="F3" s="1">
        <f>SUMIF('Rennen 1'!$D$3:$D$26,Teamauswertung!$C4,'Rennen 1'!$I$3:$I$26)</f>
        <v>29</v>
      </c>
      <c r="G3" s="1">
        <f>SUMIF('Rennen 2'!$D$3:$D$26,Teamauswertung!$C4,'Rennen 2'!$I$3:$I$26)</f>
        <v>18</v>
      </c>
      <c r="H3" s="1">
        <f>SUMIF('Rennen 3'!$D$3:$D$26,Teamauswertung!$C4,'Rennen 3'!$I$3:$I$26)</f>
        <v>30</v>
      </c>
      <c r="I3" s="1">
        <f>SUMIF('Rennen 4'!$D$3:$D$26,Teamauswertung!$C4,'Rennen 4'!$I$3:$I$26)</f>
        <v>36</v>
      </c>
      <c r="J3" s="1">
        <f>SUMIF('Rennen 5'!$D$3:$D$26,Teamauswertung!$C4,'Rennen 5'!$I$3:$I$26)</f>
        <v>0</v>
      </c>
      <c r="K3" s="1">
        <f>SUMIF('Rennen 6'!$D$3:$D$26,Teamauswertung!$C4,'Rennen 6'!$I$3:$I$26)</f>
        <v>0</v>
      </c>
      <c r="L3" s="1">
        <f>SUMIF('Rennen 7'!$D$3:$D$26,Teamauswertung!$C4,'Rennen 7'!$I$3:$I$26)</f>
        <v>0</v>
      </c>
      <c r="M3" s="1">
        <f>SUMIF('Rennen 8'!$D$3:$D$26,Teamauswertung!$C4,'Rennen 8'!$I$3:$I$26)</f>
        <v>0</v>
      </c>
      <c r="N3" s="1">
        <f>SUMIF('Rennen 9'!$D$3:$D$26,Teamauswertung!$C4,'Rennen 9'!$I$3:$I$26)</f>
        <v>0</v>
      </c>
      <c r="O3" s="1">
        <f>SUMIF('Rennen 10'!$D$3:$D$26,Teamauswertung!$C4,'Rennen 10'!$I$3:$I$26)</f>
        <v>0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</row>
    <row r="4" spans="1:35" x14ac:dyDescent="0.25">
      <c r="B4" s="1">
        <v>2</v>
      </c>
      <c r="C4" s="1" t="s">
        <v>49</v>
      </c>
      <c r="D4" s="1" t="s">
        <v>89</v>
      </c>
      <c r="E4" s="1">
        <f t="shared" si="0"/>
        <v>82</v>
      </c>
      <c r="F4" s="1">
        <f>SUMIF('Rennen 1'!$D$3:$D$26,Teamauswertung!$C3,'Rennen 1'!$I$3:$I$26)</f>
        <v>33</v>
      </c>
      <c r="G4" s="1">
        <f>SUMIF('Rennen 2'!$D$3:$D$26,Teamauswertung!$C3,'Rennen 2'!$I$3:$I$26)</f>
        <v>4</v>
      </c>
      <c r="H4" s="1">
        <f>SUMIF('Rennen 3'!$D$3:$D$26,Teamauswertung!$C3,'Rennen 3'!$I$3:$I$26)</f>
        <v>29</v>
      </c>
      <c r="I4" s="1">
        <f>SUMIF('Rennen 4'!$D$3:$D$26,Teamauswertung!$C3,'Rennen 4'!$I$3:$I$26)</f>
        <v>16</v>
      </c>
      <c r="J4" s="1">
        <f>SUMIF('Rennen 5'!$D$3:$D$26,Teamauswertung!$C3,'Rennen 5'!$I$3:$I$26)</f>
        <v>0</v>
      </c>
      <c r="K4" s="1">
        <f>SUMIF('Rennen 6'!$D$3:$D$26,Teamauswertung!$C3,'Rennen 6'!$I$3:$I$26)</f>
        <v>0</v>
      </c>
      <c r="L4" s="1">
        <f>SUMIF('Rennen 7'!$D$3:$D$26,Teamauswertung!$C3,'Rennen 7'!$I$3:$I$26)</f>
        <v>0</v>
      </c>
      <c r="M4" s="1">
        <f>SUMIF('Rennen 8'!$D$3:$D$26,Teamauswertung!$C3,'Rennen 8'!$I$3:$I$26)</f>
        <v>0</v>
      </c>
      <c r="N4" s="1">
        <f>SUMIF('Rennen 9'!$D$3:$D$26,Teamauswertung!$C3,'Rennen 9'!$I$3:$I$26)</f>
        <v>0</v>
      </c>
      <c r="O4" s="1">
        <f>SUMIF('Rennen 10'!$D$3:$D$26,Teamauswertung!$C3,'Rennen 10'!$I$3:$I$26)</f>
        <v>0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1:35" x14ac:dyDescent="0.25">
      <c r="B5" s="1">
        <v>3</v>
      </c>
      <c r="C5" s="1" t="s">
        <v>53</v>
      </c>
      <c r="D5" s="1" t="s">
        <v>86</v>
      </c>
      <c r="E5" s="1">
        <f t="shared" si="0"/>
        <v>81</v>
      </c>
      <c r="F5" s="1">
        <f>SUMIF('Rennen 1'!$D$3:$D$26,Teamauswertung!$C7,'Rennen 1'!$I$3:$I$26)</f>
        <v>16</v>
      </c>
      <c r="G5" s="1">
        <f>SUMIF('Rennen 2'!$D$3:$D$26,Teamauswertung!$C7,'Rennen 2'!$I$3:$I$26)</f>
        <v>26</v>
      </c>
      <c r="H5" s="1">
        <f>SUMIF('Rennen 3'!$D$3:$D$26,Teamauswertung!$C7,'Rennen 3'!$I$3:$I$26)</f>
        <v>11</v>
      </c>
      <c r="I5" s="1">
        <f>SUMIF('Rennen 4'!$D$3:$D$26,Teamauswertung!$C7,'Rennen 4'!$I$3:$I$26)</f>
        <v>28</v>
      </c>
      <c r="J5" s="1">
        <f>SUMIF('Rennen 5'!$D$3:$D$26,Teamauswertung!$C7,'Rennen 5'!$I$3:$I$26)</f>
        <v>0</v>
      </c>
      <c r="K5" s="1">
        <f>SUMIF('Rennen 6'!$D$3:$D$26,Teamauswertung!$C7,'Rennen 6'!$I$3:$I$26)</f>
        <v>0</v>
      </c>
      <c r="L5" s="1">
        <f>SUMIF('Rennen 7'!$D$3:$D$26,Teamauswertung!$C7,'Rennen 7'!$I$3:$I$26)</f>
        <v>0</v>
      </c>
      <c r="M5" s="1">
        <f>SUMIF('Rennen 8'!$D$3:$D$26,Teamauswertung!$C7,'Rennen 8'!$I$3:$I$26)</f>
        <v>0</v>
      </c>
      <c r="N5" s="1">
        <f>SUMIF('Rennen 9'!$D$3:$D$26,Teamauswertung!$C7,'Rennen 9'!$I$3:$I$26)</f>
        <v>0</v>
      </c>
      <c r="O5" s="1">
        <f>SUMIF('Rennen 10'!$D$3:$D$26,Teamauswertung!$C7,'Rennen 10'!$I$3:$I$26)</f>
        <v>0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1:35" x14ac:dyDescent="0.25">
      <c r="B6" s="1">
        <v>4</v>
      </c>
      <c r="C6" s="1" t="s">
        <v>51</v>
      </c>
      <c r="D6" s="1" t="s">
        <v>87</v>
      </c>
      <c r="E6" s="1">
        <f t="shared" si="0"/>
        <v>78</v>
      </c>
      <c r="F6" s="1">
        <f>SUMIF('Rennen 1'!$D$3:$D$26,Teamauswertung!$C5,'Rennen 1'!$I$3:$I$26)</f>
        <v>29</v>
      </c>
      <c r="G6" s="1">
        <f>SUMIF('Rennen 2'!$D$3:$D$26,Teamauswertung!$C5,'Rennen 2'!$I$3:$I$26)</f>
        <v>19</v>
      </c>
      <c r="H6" s="1">
        <f>SUMIF('Rennen 3'!$D$3:$D$26,Teamauswertung!$C5,'Rennen 3'!$I$3:$I$26)</f>
        <v>13</v>
      </c>
      <c r="I6" s="1">
        <f>SUMIF('Rennen 4'!$D$3:$D$26,Teamauswertung!$C5,'Rennen 4'!$I$3:$I$26)</f>
        <v>17</v>
      </c>
      <c r="J6" s="1">
        <f>SUMIF('Rennen 5'!$D$3:$D$26,Teamauswertung!$C5,'Rennen 5'!$I$3:$I$26)</f>
        <v>0</v>
      </c>
      <c r="K6" s="1">
        <f>SUMIF('Rennen 6'!$D$3:$D$26,Teamauswertung!$C5,'Rennen 6'!$I$3:$I$26)</f>
        <v>0</v>
      </c>
      <c r="L6" s="1">
        <f>SUMIF('Rennen 7'!$D$3:$D$26,Teamauswertung!$C5,'Rennen 7'!$I$3:$I$26)</f>
        <v>0</v>
      </c>
      <c r="M6" s="1">
        <f>SUMIF('Rennen 8'!$D$3:$D$26,Teamauswertung!$C5,'Rennen 8'!$I$3:$I$26)</f>
        <v>0</v>
      </c>
      <c r="N6" s="1">
        <f>SUMIF('Rennen 9'!$D$3:$D$26,Teamauswertung!$C5,'Rennen 9'!$I$3:$I$26)</f>
        <v>0</v>
      </c>
      <c r="O6" s="1">
        <f>SUMIF('Rennen 10'!$D$3:$D$26,Teamauswertung!$C5,'Rennen 10'!$I$3:$I$26)</f>
        <v>0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x14ac:dyDescent="0.25">
      <c r="B7" s="1">
        <v>5</v>
      </c>
      <c r="C7" s="1" t="s">
        <v>52</v>
      </c>
      <c r="D7" s="1" t="s">
        <v>90</v>
      </c>
      <c r="E7" s="1">
        <f t="shared" si="0"/>
        <v>72</v>
      </c>
      <c r="F7" s="1">
        <f>SUMIF('Rennen 1'!$D$3:$D$26,Teamauswertung!$C6,'Rennen 1'!$I$3:$I$26)</f>
        <v>18</v>
      </c>
      <c r="G7" s="1">
        <f>SUMIF('Rennen 2'!$D$3:$D$26,Teamauswertung!$C6,'Rennen 2'!$I$3:$I$26)</f>
        <v>24</v>
      </c>
      <c r="H7" s="1">
        <f>SUMIF('Rennen 3'!$D$3:$D$26,Teamauswertung!$C6,'Rennen 3'!$I$3:$I$26)</f>
        <v>15</v>
      </c>
      <c r="I7" s="1">
        <f>SUMIF('Rennen 4'!$D$3:$D$26,Teamauswertung!$C6,'Rennen 4'!$I$3:$I$26)</f>
        <v>15</v>
      </c>
      <c r="J7" s="1">
        <f>SUMIF('Rennen 5'!$D$3:$D$26,Teamauswertung!$C6,'Rennen 5'!$I$3:$I$26)</f>
        <v>0</v>
      </c>
      <c r="K7" s="1">
        <f>SUMIF('Rennen 6'!$D$3:$D$26,Teamauswertung!$C6,'Rennen 6'!$I$3:$I$26)</f>
        <v>0</v>
      </c>
      <c r="L7" s="1">
        <f>SUMIF('Rennen 7'!$D$3:$D$26,Teamauswertung!$C6,'Rennen 7'!$I$3:$I$26)</f>
        <v>0</v>
      </c>
      <c r="M7" s="1">
        <f>SUMIF('Rennen 8'!$D$3:$D$26,Teamauswertung!$C6,'Rennen 8'!$I$3:$I$26)</f>
        <v>0</v>
      </c>
      <c r="N7" s="1">
        <f>SUMIF('Rennen 9'!$D$3:$D$26,Teamauswertung!$C6,'Rennen 9'!$I$3:$I$26)</f>
        <v>0</v>
      </c>
      <c r="O7" s="1">
        <f>SUMIF('Rennen 10'!$D$3:$D$26,Teamauswertung!$C6,'Rennen 10'!$I$3:$I$26)</f>
        <v>0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x14ac:dyDescent="0.25">
      <c r="B8" s="1">
        <v>6</v>
      </c>
      <c r="C8" s="1" t="s">
        <v>57</v>
      </c>
      <c r="D8" s="1" t="s">
        <v>88</v>
      </c>
      <c r="E8" s="1">
        <f t="shared" si="0"/>
        <v>58</v>
      </c>
      <c r="F8" s="1">
        <f>SUMIF('Rennen 1'!$D$3:$D$26,Teamauswertung!$C8,'Rennen 1'!$I$3:$I$26)</f>
        <v>0</v>
      </c>
      <c r="G8" s="1">
        <f>SUMIF('Rennen 2'!$D$3:$D$26,Teamauswertung!$C8,'Rennen 2'!$I$3:$I$26)</f>
        <v>13</v>
      </c>
      <c r="H8" s="1">
        <f>SUMIF('Rennen 3'!$D$3:$D$26,Teamauswertung!$C8,'Rennen 3'!$I$3:$I$26)</f>
        <v>30</v>
      </c>
      <c r="I8" s="1">
        <f>SUMIF('Rennen 4'!$D$3:$D$26,Teamauswertung!$C8,'Rennen 4'!$I$3:$I$26)</f>
        <v>15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1:35" x14ac:dyDescent="0.25">
      <c r="B9" s="1">
        <v>7</v>
      </c>
      <c r="C9" s="1" t="s">
        <v>54</v>
      </c>
      <c r="D9" s="1" t="s">
        <v>54</v>
      </c>
      <c r="E9" s="1">
        <f t="shared" si="0"/>
        <v>25</v>
      </c>
      <c r="F9" s="1">
        <f>SUMIF('Rennen 1'!$D$3:$D$26,Teamauswertung!$C10,'Rennen 1'!$I$3:$I$26)</f>
        <v>0</v>
      </c>
      <c r="G9" s="1">
        <f>SUMIF('Rennen 2'!$D$3:$D$26,Teamauswertung!$C10,'Rennen 2'!$I$3:$I$26)</f>
        <v>25</v>
      </c>
      <c r="H9" s="1">
        <f>SUMIF('Rennen 3'!$D$3:$D$26,Teamauswertung!$C10,'Rennen 3'!$I$3:$I$26)</f>
        <v>0</v>
      </c>
      <c r="I9" s="1">
        <f>SUMIF('Rennen 4'!$D$3:$D$26,Teamauswertung!$C10,'Rennen 4'!$I$3:$I$26)</f>
        <v>0</v>
      </c>
      <c r="J9" s="1">
        <f>SUMIF('Rennen 5'!$D$3:$D$26,Teamauswertung!$C10,'Rennen 5'!$I$3:$I$26)</f>
        <v>0</v>
      </c>
      <c r="K9" s="1">
        <f>SUMIF('Rennen 6'!$D$3:$D$26,Teamauswertung!$C10,'Rennen 6'!$I$3:$I$26)</f>
        <v>0</v>
      </c>
      <c r="L9" s="1">
        <f>SUMIF('Rennen 7'!$D$3:$D$26,Teamauswertung!$C10,'Rennen 7'!$I$3:$I$26)</f>
        <v>0</v>
      </c>
      <c r="M9" s="1">
        <f>SUMIF('Rennen 8'!$D$3:$D$26,Teamauswertung!$C10,'Rennen 8'!$I$3:$I$26)</f>
        <v>0</v>
      </c>
      <c r="N9" s="1">
        <f>SUMIF('Rennen 9'!$D$3:$D$26,Teamauswertung!$C10,'Rennen 9'!$I$3:$I$26)</f>
        <v>0</v>
      </c>
      <c r="O9" s="1">
        <f>SUMIF('Rennen 10'!$D$3:$D$26,Teamauswertung!$C10,'Rennen 10'!$I$3:$I$26)</f>
        <v>0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1:35" x14ac:dyDescent="0.25">
      <c r="B10" s="1">
        <v>8</v>
      </c>
      <c r="C10" s="1" t="s">
        <v>46</v>
      </c>
      <c r="D10" s="1" t="s">
        <v>46</v>
      </c>
      <c r="E10" s="1">
        <f t="shared" si="0"/>
        <v>17</v>
      </c>
      <c r="F10" s="1">
        <f>SUMIF('Rennen 1'!$D$3:$D$26,Teamauswertung!$C9,'Rennen 1'!$I$3:$I$26)</f>
        <v>5</v>
      </c>
      <c r="G10" s="1">
        <f>SUMIF('Rennen 2'!$D$3:$D$26,Teamauswertung!$C9,'Rennen 2'!$I$3:$I$26)</f>
        <v>5</v>
      </c>
      <c r="H10" s="1">
        <f>SUMIF('Rennen 3'!$D$3:$D$26,Teamauswertung!$C9,'Rennen 3'!$I$3:$I$26)</f>
        <v>0</v>
      </c>
      <c r="I10" s="1">
        <f>SUMIF('Rennen 4'!$D$3:$D$26,Teamauswertung!$C9,'Rennen 4'!$I$3:$I$26)</f>
        <v>7</v>
      </c>
      <c r="J10" s="1">
        <f>SUMIF('Rennen 5'!$D$3:$D$26,Teamauswertung!$C9,'Rennen 5'!$I$3:$I$26)</f>
        <v>0</v>
      </c>
      <c r="K10" s="1">
        <f>SUMIF('Rennen 6'!$D$3:$D$26,Teamauswertung!$C9,'Rennen 6'!$I$3:$I$26)</f>
        <v>0</v>
      </c>
      <c r="L10" s="1">
        <f>SUMIF('Rennen 7'!$D$3:$D$26,Teamauswertung!$C9,'Rennen 7'!$I$3:$I$26)</f>
        <v>0</v>
      </c>
      <c r="M10" s="1">
        <f>SUMIF('Rennen 8'!$D$3:$D$26,Teamauswertung!$C9,'Rennen 8'!$I$3:$I$26)</f>
        <v>0</v>
      </c>
      <c r="N10" s="1">
        <f>SUMIF('Rennen 9'!$D$3:$D$26,Teamauswertung!$C9,'Rennen 9'!$I$3:$I$26)</f>
        <v>0</v>
      </c>
      <c r="O10" s="1">
        <f>SUMIF('Rennen 10'!$D$3:$D$26,Teamauswertung!$C9,'Rennen 10'!$I$3:$I$26)</f>
        <v>0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</row>
    <row r="11" spans="1:35" x14ac:dyDescent="0.25">
      <c r="B11" s="1">
        <v>9</v>
      </c>
      <c r="C11" s="1" t="s">
        <v>71</v>
      </c>
      <c r="D11" s="1" t="s">
        <v>71</v>
      </c>
      <c r="E11" s="1">
        <f t="shared" si="0"/>
        <v>9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9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1:35" x14ac:dyDescent="0.25">
      <c r="B12" s="1">
        <v>10</v>
      </c>
      <c r="C12" s="1" t="s">
        <v>73</v>
      </c>
      <c r="D12" s="1" t="s">
        <v>73</v>
      </c>
      <c r="E12" s="1">
        <f t="shared" si="0"/>
        <v>2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2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1:35" x14ac:dyDescent="0.25">
      <c r="B13" s="1">
        <v>11</v>
      </c>
      <c r="C13" s="1"/>
      <c r="D13" s="1"/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1:35" x14ac:dyDescent="0.25">
      <c r="B14" s="1">
        <v>12</v>
      </c>
      <c r="C14" s="1"/>
      <c r="D14" s="1"/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1:35" x14ac:dyDescent="0.25">
      <c r="B15" s="1">
        <v>13</v>
      </c>
      <c r="C15" s="1"/>
      <c r="D15" s="1"/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1:35" x14ac:dyDescent="0.25">
      <c r="B16" s="1">
        <v>14</v>
      </c>
      <c r="C16" s="1"/>
      <c r="D16" s="1"/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2:35" x14ac:dyDescent="0.25">
      <c r="B17" s="1">
        <v>15</v>
      </c>
      <c r="C17" s="1"/>
      <c r="D17" s="1"/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</sheetData>
  <sortState ref="C3:AI17">
    <sortCondition descending="1" ref="E3:E32"/>
  </sortState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B2:O17"/>
  <sheetViews>
    <sheetView workbookViewId="0">
      <selection activeCell="C2" sqref="C2:AI17"/>
    </sheetView>
  </sheetViews>
  <sheetFormatPr baseColWidth="10" defaultRowHeight="15" x14ac:dyDescent="0.25"/>
  <cols>
    <col min="1" max="2" width="11.42578125" style="1"/>
    <col min="3" max="3" width="21.28515625" style="1" bestFit="1" customWidth="1"/>
    <col min="4" max="4" width="29.140625" style="1" bestFit="1" customWidth="1"/>
    <col min="5" max="16384" width="11.42578125" style="1"/>
  </cols>
  <sheetData>
    <row r="2" spans="2:15" x14ac:dyDescent="0.25">
      <c r="B2" s="1" t="s">
        <v>0</v>
      </c>
      <c r="C2" s="1" t="s">
        <v>3</v>
      </c>
      <c r="D2" s="1" t="s">
        <v>1</v>
      </c>
      <c r="E2" s="1" t="s">
        <v>2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</row>
    <row r="3" spans="2:15" x14ac:dyDescent="0.25">
      <c r="B3" s="1">
        <v>1</v>
      </c>
      <c r="C3" s="1" t="s">
        <v>49</v>
      </c>
      <c r="D3" s="1" t="s">
        <v>89</v>
      </c>
      <c r="E3" s="1">
        <f>SUM(F3:O3)</f>
        <v>82</v>
      </c>
      <c r="F3" s="1">
        <f>SUMIF('Rennen 1'!$D$3:$D$26,Teamauswertung!$C3,'Rennen 1'!$I$3:$I$26)</f>
        <v>33</v>
      </c>
      <c r="G3" s="1">
        <f>SUMIF('Rennen 2'!$D$3:$D$26,Teamauswertung!$C3,'Rennen 2'!$I$3:$I$26)</f>
        <v>4</v>
      </c>
      <c r="H3" s="1">
        <f>SUMIF('Rennen 3'!$D$3:$D$26,Teamauswertung!$C3,'Rennen 3'!$I$3:$I$26)</f>
        <v>29</v>
      </c>
      <c r="I3" s="1">
        <f>SUMIF('Rennen 4'!$D$3:$D$26,Teamauswertung!$C3,'Rennen 4'!$I$3:$I$26)</f>
        <v>16</v>
      </c>
      <c r="J3" s="1">
        <f>SUMIF('Rennen 5'!$D$3:$D$26,Teamauswertung!$C3,'Rennen 5'!$I$3:$I$26)</f>
        <v>0</v>
      </c>
      <c r="K3" s="1">
        <f>SUMIF('Rennen 6'!$D$3:$D$26,Teamauswertung!$C3,'Rennen 6'!$I$3:$I$26)</f>
        <v>0</v>
      </c>
      <c r="L3" s="1">
        <f>SUMIF('Rennen 7'!$D$3:$D$26,Teamauswertung!$C3,'Rennen 7'!$I$3:$I$26)</f>
        <v>0</v>
      </c>
      <c r="M3" s="1">
        <f>SUMIF('Rennen 8'!$D$3:$D$26,Teamauswertung!$C3,'Rennen 8'!$I$3:$I$26)</f>
        <v>0</v>
      </c>
      <c r="N3" s="1">
        <f>SUMIF('Rennen 9'!$D$3:$D$26,Teamauswertung!$C3,'Rennen 9'!$I$3:$I$26)</f>
        <v>0</v>
      </c>
      <c r="O3" s="1">
        <f>SUMIF('Rennen 10'!$D$3:$D$26,Teamauswertung!$C3,'Rennen 10'!$I$3:$I$26)</f>
        <v>0</v>
      </c>
    </row>
    <row r="4" spans="2:15" x14ac:dyDescent="0.25">
      <c r="B4" s="1">
        <v>2</v>
      </c>
      <c r="C4" s="1" t="s">
        <v>50</v>
      </c>
      <c r="D4" s="1" t="s">
        <v>85</v>
      </c>
      <c r="E4" s="1">
        <f t="shared" ref="E4:E17" si="0">SUM(F4:O4)</f>
        <v>113</v>
      </c>
      <c r="F4" s="1">
        <f>SUMIF('Rennen 1'!$D$3:$D$26,Teamauswertung!$C4,'Rennen 1'!$I$3:$I$26)</f>
        <v>29</v>
      </c>
      <c r="G4" s="1">
        <f>SUMIF('Rennen 2'!$D$3:$D$26,Teamauswertung!$C4,'Rennen 2'!$I$3:$I$26)</f>
        <v>18</v>
      </c>
      <c r="H4" s="1">
        <f>SUMIF('Rennen 3'!$D$3:$D$26,Teamauswertung!$C4,'Rennen 3'!$I$3:$I$26)</f>
        <v>30</v>
      </c>
      <c r="I4" s="1">
        <f>SUMIF('Rennen 4'!$D$3:$D$26,Teamauswertung!$C4,'Rennen 4'!$I$3:$I$26)</f>
        <v>36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</row>
    <row r="5" spans="2:15" x14ac:dyDescent="0.25">
      <c r="B5" s="1">
        <v>3</v>
      </c>
      <c r="C5" s="1" t="s">
        <v>51</v>
      </c>
      <c r="D5" s="1" t="s">
        <v>87</v>
      </c>
      <c r="E5" s="1">
        <f t="shared" si="0"/>
        <v>78</v>
      </c>
      <c r="F5" s="1">
        <f>SUMIF('Rennen 1'!$D$3:$D$26,Teamauswertung!$C5,'Rennen 1'!$I$3:$I$26)</f>
        <v>29</v>
      </c>
      <c r="G5" s="1">
        <f>SUMIF('Rennen 2'!$D$3:$D$26,Teamauswertung!$C5,'Rennen 2'!$I$3:$I$26)</f>
        <v>19</v>
      </c>
      <c r="H5" s="1">
        <f>SUMIF('Rennen 3'!$D$3:$D$26,Teamauswertung!$C5,'Rennen 3'!$I$3:$I$26)</f>
        <v>13</v>
      </c>
      <c r="I5" s="1">
        <f>SUMIF('Rennen 4'!$D$3:$D$26,Teamauswertung!$C5,'Rennen 4'!$I$3:$I$26)</f>
        <v>17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</row>
    <row r="6" spans="2:15" x14ac:dyDescent="0.25">
      <c r="B6" s="1">
        <v>4</v>
      </c>
      <c r="C6" s="1" t="s">
        <v>52</v>
      </c>
      <c r="D6" s="1" t="s">
        <v>90</v>
      </c>
      <c r="E6" s="1">
        <f t="shared" si="0"/>
        <v>72</v>
      </c>
      <c r="F6" s="1">
        <f>SUMIF('Rennen 1'!$D$3:$D$26,Teamauswertung!$C6,'Rennen 1'!$I$3:$I$26)</f>
        <v>18</v>
      </c>
      <c r="G6" s="1">
        <f>SUMIF('Rennen 2'!$D$3:$D$26,Teamauswertung!$C6,'Rennen 2'!$I$3:$I$26)</f>
        <v>24</v>
      </c>
      <c r="H6" s="1">
        <f>SUMIF('Rennen 3'!$D$3:$D$26,Teamauswertung!$C6,'Rennen 3'!$I$3:$I$26)</f>
        <v>15</v>
      </c>
      <c r="I6" s="1">
        <f>SUMIF('Rennen 4'!$D$3:$D$26,Teamauswertung!$C6,'Rennen 4'!$I$3:$I$26)</f>
        <v>15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</row>
    <row r="7" spans="2:15" x14ac:dyDescent="0.25">
      <c r="B7" s="1">
        <v>5</v>
      </c>
      <c r="C7" s="1" t="s">
        <v>53</v>
      </c>
      <c r="D7" s="1" t="s">
        <v>86</v>
      </c>
      <c r="E7" s="1">
        <f t="shared" si="0"/>
        <v>81</v>
      </c>
      <c r="F7" s="1">
        <f>SUMIF('Rennen 1'!$D$3:$D$26,Teamauswertung!$C7,'Rennen 1'!$I$3:$I$26)</f>
        <v>16</v>
      </c>
      <c r="G7" s="1">
        <f>SUMIF('Rennen 2'!$D$3:$D$26,Teamauswertung!$C7,'Rennen 2'!$I$3:$I$26)</f>
        <v>26</v>
      </c>
      <c r="H7" s="1">
        <f>SUMIF('Rennen 3'!$D$3:$D$26,Teamauswertung!$C7,'Rennen 3'!$I$3:$I$26)</f>
        <v>11</v>
      </c>
      <c r="I7" s="1">
        <f>SUMIF('Rennen 4'!$D$3:$D$26,Teamauswertung!$C7,'Rennen 4'!$I$3:$I$26)</f>
        <v>28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</row>
    <row r="8" spans="2:15" x14ac:dyDescent="0.25">
      <c r="B8" s="1">
        <v>6</v>
      </c>
      <c r="C8" s="1" t="s">
        <v>57</v>
      </c>
      <c r="D8" s="1" t="s">
        <v>88</v>
      </c>
      <c r="E8" s="1">
        <f t="shared" si="0"/>
        <v>58</v>
      </c>
      <c r="F8" s="1">
        <f>SUMIF('Rennen 1'!$D$3:$D$26,Teamauswertung!$C8,'Rennen 1'!$I$3:$I$26)</f>
        <v>0</v>
      </c>
      <c r="G8" s="1">
        <f>SUMIF('Rennen 2'!$D$3:$D$26,Teamauswertung!$C8,'Rennen 2'!$I$3:$I$26)</f>
        <v>13</v>
      </c>
      <c r="H8" s="1">
        <f>SUMIF('Rennen 3'!$D$3:$D$26,Teamauswertung!$C8,'Rennen 3'!$I$3:$I$26)</f>
        <v>30</v>
      </c>
      <c r="I8" s="1">
        <f>SUMIF('Rennen 4'!$D$3:$D$26,Teamauswertung!$C8,'Rennen 4'!$I$3:$I$26)</f>
        <v>15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</row>
    <row r="9" spans="2:15" x14ac:dyDescent="0.25">
      <c r="B9" s="1">
        <v>7</v>
      </c>
      <c r="C9" s="1" t="s">
        <v>46</v>
      </c>
      <c r="D9" s="1" t="s">
        <v>46</v>
      </c>
      <c r="E9" s="1">
        <f t="shared" si="0"/>
        <v>17</v>
      </c>
      <c r="F9" s="1">
        <f>SUMIF('Rennen 1'!$D$3:$D$26,Teamauswertung!$C9,'Rennen 1'!$I$3:$I$26)</f>
        <v>5</v>
      </c>
      <c r="G9" s="1">
        <f>SUMIF('Rennen 2'!$D$3:$D$26,Teamauswertung!$C9,'Rennen 2'!$I$3:$I$26)</f>
        <v>5</v>
      </c>
      <c r="H9" s="1">
        <f>SUMIF('Rennen 3'!$D$3:$D$26,Teamauswertung!$C9,'Rennen 3'!$I$3:$I$26)</f>
        <v>0</v>
      </c>
      <c r="I9" s="1">
        <f>SUMIF('Rennen 4'!$D$3:$D$26,Teamauswertung!$C9,'Rennen 4'!$I$3:$I$26)</f>
        <v>7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</row>
    <row r="10" spans="2:15" x14ac:dyDescent="0.25">
      <c r="B10" s="1">
        <v>8</v>
      </c>
      <c r="C10" s="1" t="s">
        <v>54</v>
      </c>
      <c r="D10" s="1" t="s">
        <v>54</v>
      </c>
      <c r="E10" s="1">
        <f t="shared" si="0"/>
        <v>25</v>
      </c>
      <c r="F10" s="1">
        <f>SUMIF('Rennen 1'!$D$3:$D$26,Teamauswertung!$C10,'Rennen 1'!$I$3:$I$26)</f>
        <v>0</v>
      </c>
      <c r="G10" s="1">
        <f>SUMIF('Rennen 2'!$D$3:$D$26,Teamauswertung!$C10,'Rennen 2'!$I$3:$I$26)</f>
        <v>25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</row>
    <row r="11" spans="2:15" x14ac:dyDescent="0.25">
      <c r="B11" s="1">
        <v>9</v>
      </c>
      <c r="C11" s="1" t="s">
        <v>71</v>
      </c>
      <c r="D11" s="1" t="s">
        <v>71</v>
      </c>
      <c r="E11" s="1">
        <f t="shared" si="0"/>
        <v>9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9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</row>
    <row r="12" spans="2:15" x14ac:dyDescent="0.25">
      <c r="B12" s="1">
        <v>10</v>
      </c>
      <c r="C12" s="1" t="s">
        <v>73</v>
      </c>
      <c r="D12" s="1" t="s">
        <v>73</v>
      </c>
      <c r="E12" s="1">
        <f t="shared" si="0"/>
        <v>2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2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</row>
    <row r="13" spans="2:15" x14ac:dyDescent="0.25">
      <c r="B13" s="1">
        <v>11</v>
      </c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</row>
    <row r="14" spans="2:15" x14ac:dyDescent="0.25">
      <c r="B14" s="1">
        <v>12</v>
      </c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</row>
    <row r="15" spans="2:15" x14ac:dyDescent="0.25">
      <c r="B15" s="1">
        <v>13</v>
      </c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</row>
    <row r="16" spans="2:15" x14ac:dyDescent="0.25">
      <c r="B16" s="1">
        <v>14</v>
      </c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</row>
    <row r="17" spans="2:15" x14ac:dyDescent="0.25">
      <c r="B17" s="1">
        <v>15</v>
      </c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</row>
  </sheetData>
  <pageMargins left="0.7" right="0.7" top="0.78740157499999996" bottom="0.78740157499999996" header="0.3" footer="0.3"/>
  <ignoredErrors>
    <ignoredError sqref="G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30"/>
  <sheetViews>
    <sheetView workbookViewId="0">
      <selection activeCell="G4" sqref="G4"/>
    </sheetView>
  </sheetViews>
  <sheetFormatPr baseColWidth="10" defaultColWidth="20.7109375" defaultRowHeight="15" x14ac:dyDescent="0.25"/>
  <cols>
    <col min="1" max="4" width="20.7109375" style="1"/>
    <col min="5" max="5" width="30.28515625" style="1" customWidth="1"/>
    <col min="6" max="6" width="31.140625" style="1" customWidth="1"/>
    <col min="7" max="7" width="34" style="1" customWidth="1"/>
    <col min="8" max="16384" width="20.7109375" style="1"/>
  </cols>
  <sheetData>
    <row r="1" spans="1:9" x14ac:dyDescent="0.25">
      <c r="A1" s="1">
        <v>1</v>
      </c>
      <c r="E1" s="1" t="s">
        <v>75</v>
      </c>
      <c r="F1" s="1" t="s">
        <v>47</v>
      </c>
      <c r="G1" s="1" t="s">
        <v>48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8</v>
      </c>
      <c r="C3" s="1" t="s">
        <v>35</v>
      </c>
      <c r="D3" s="1" t="s">
        <v>49</v>
      </c>
      <c r="E3" s="1" t="s">
        <v>36</v>
      </c>
      <c r="F3" s="3">
        <v>1.3979861111111111E-3</v>
      </c>
      <c r="G3" s="4">
        <v>0</v>
      </c>
      <c r="H3" s="4">
        <v>5.9803240740740747E-2</v>
      </c>
      <c r="I3" s="1">
        <v>25</v>
      </c>
    </row>
    <row r="4" spans="1:9" x14ac:dyDescent="0.25">
      <c r="A4" s="1">
        <v>2</v>
      </c>
      <c r="B4" s="1">
        <v>2</v>
      </c>
      <c r="C4" s="1" t="s">
        <v>37</v>
      </c>
      <c r="D4" s="1" t="s">
        <v>50</v>
      </c>
      <c r="E4" s="1" t="s">
        <v>36</v>
      </c>
      <c r="F4" s="3">
        <v>1.3987962962962964E-3</v>
      </c>
      <c r="G4" s="4">
        <f>H4-H3</f>
        <v>1.1574074074066631E-5</v>
      </c>
      <c r="H4" s="4">
        <v>5.9814814814814814E-2</v>
      </c>
      <c r="I4" s="1">
        <v>20</v>
      </c>
    </row>
    <row r="5" spans="1:9" x14ac:dyDescent="0.25">
      <c r="A5" s="1">
        <v>3</v>
      </c>
      <c r="B5" s="1">
        <v>1</v>
      </c>
      <c r="C5" s="1" t="s">
        <v>38</v>
      </c>
      <c r="D5" s="1" t="s">
        <v>51</v>
      </c>
      <c r="E5" s="1" t="s">
        <v>36</v>
      </c>
      <c r="F5" s="3">
        <v>1.4014004629629628E-3</v>
      </c>
      <c r="G5" s="4">
        <f>H5-H3</f>
        <v>2.3148148148140202E-5</v>
      </c>
      <c r="H5" s="4">
        <v>5.9826388888888887E-2</v>
      </c>
      <c r="I5" s="1">
        <v>16</v>
      </c>
    </row>
    <row r="6" spans="1:9" x14ac:dyDescent="0.25">
      <c r="A6" s="1">
        <v>4</v>
      </c>
      <c r="B6" s="1">
        <v>5</v>
      </c>
      <c r="C6" s="1" t="s">
        <v>39</v>
      </c>
      <c r="D6" s="1" t="s">
        <v>51</v>
      </c>
      <c r="E6" s="1" t="s">
        <v>36</v>
      </c>
      <c r="F6" s="3">
        <v>1.4035300925925925E-3</v>
      </c>
      <c r="G6" s="4">
        <f>H6-H3</f>
        <v>2.5462962962961855E-4</v>
      </c>
      <c r="H6" s="4">
        <v>6.0057870370370366E-2</v>
      </c>
      <c r="I6" s="1">
        <v>13</v>
      </c>
    </row>
    <row r="7" spans="1:9" x14ac:dyDescent="0.25">
      <c r="A7" s="1">
        <v>5</v>
      </c>
      <c r="B7" s="1">
        <v>4</v>
      </c>
      <c r="C7" s="1" t="s">
        <v>40</v>
      </c>
      <c r="D7" s="1" t="s">
        <v>52</v>
      </c>
      <c r="E7" s="1" t="s">
        <v>36</v>
      </c>
      <c r="F7" s="3">
        <v>1.3998611111111113E-3</v>
      </c>
      <c r="G7" s="4">
        <f>H7-H3</f>
        <v>3.2407407407406691E-4</v>
      </c>
      <c r="H7" s="4">
        <v>6.0127314814814814E-2</v>
      </c>
      <c r="I7" s="1">
        <v>11</v>
      </c>
    </row>
    <row r="8" spans="1:9" x14ac:dyDescent="0.25">
      <c r="A8" s="1">
        <v>6</v>
      </c>
      <c r="B8" s="1">
        <v>3</v>
      </c>
      <c r="C8" s="1" t="s">
        <v>41</v>
      </c>
      <c r="D8" s="1" t="s">
        <v>53</v>
      </c>
      <c r="E8" s="1" t="s">
        <v>36</v>
      </c>
      <c r="F8" s="3">
        <v>1.4039467592592593E-3</v>
      </c>
      <c r="G8" s="4">
        <f>H8-H3</f>
        <v>3.4722222222222099E-4</v>
      </c>
      <c r="H8" s="4">
        <v>6.0150462962962968E-2</v>
      </c>
      <c r="I8" s="1">
        <v>10</v>
      </c>
    </row>
    <row r="9" spans="1:9" x14ac:dyDescent="0.25">
      <c r="A9" s="1">
        <v>7</v>
      </c>
      <c r="B9" s="1">
        <v>6</v>
      </c>
      <c r="C9" s="1" t="s">
        <v>42</v>
      </c>
      <c r="D9" s="1" t="s">
        <v>50</v>
      </c>
      <c r="E9" s="1" t="s">
        <v>36</v>
      </c>
      <c r="F9" s="3">
        <v>1.4067476851851854E-3</v>
      </c>
      <c r="G9" s="4">
        <f>H9-H3</f>
        <v>4.1666666666665547E-4</v>
      </c>
      <c r="H9" s="4">
        <v>6.0219907407407403E-2</v>
      </c>
      <c r="I9" s="1">
        <v>9</v>
      </c>
    </row>
    <row r="10" spans="1:9" x14ac:dyDescent="0.25">
      <c r="A10" s="1">
        <v>8</v>
      </c>
      <c r="B10" s="1">
        <v>7</v>
      </c>
      <c r="C10" s="1" t="s">
        <v>43</v>
      </c>
      <c r="D10" s="1" t="s">
        <v>49</v>
      </c>
      <c r="E10" s="1" t="s">
        <v>36</v>
      </c>
      <c r="F10" s="3">
        <v>1.4020949074074072E-3</v>
      </c>
      <c r="G10" s="4">
        <f>H10-H3</f>
        <v>4.745370370370372E-4</v>
      </c>
      <c r="H10" s="4">
        <v>6.0277777777777784E-2</v>
      </c>
      <c r="I10" s="1">
        <v>8</v>
      </c>
    </row>
    <row r="11" spans="1:9" x14ac:dyDescent="0.25">
      <c r="A11" s="1">
        <v>9</v>
      </c>
      <c r="B11" s="1">
        <v>11</v>
      </c>
      <c r="C11" s="1" t="s">
        <v>44</v>
      </c>
      <c r="D11" s="1" t="s">
        <v>52</v>
      </c>
      <c r="E11" s="1" t="s">
        <v>36</v>
      </c>
      <c r="F11" s="3">
        <v>1.4069560185185183E-3</v>
      </c>
      <c r="G11" s="4">
        <f>H11-H3</f>
        <v>6.5972222222221433E-4</v>
      </c>
      <c r="H11" s="4">
        <v>6.0462962962962961E-2</v>
      </c>
      <c r="I11" s="1">
        <v>7</v>
      </c>
    </row>
    <row r="12" spans="1:9" x14ac:dyDescent="0.25">
      <c r="A12" s="1">
        <v>10</v>
      </c>
      <c r="B12" s="1">
        <v>10</v>
      </c>
      <c r="C12" s="1" t="s">
        <v>45</v>
      </c>
      <c r="D12" s="1" t="s">
        <v>53</v>
      </c>
      <c r="E12" s="1" t="s">
        <v>36</v>
      </c>
      <c r="F12" s="3">
        <v>1.4089351851851852E-3</v>
      </c>
      <c r="G12" s="4">
        <f>H12-H3</f>
        <v>8.3333333333333176E-4</v>
      </c>
      <c r="H12" s="4">
        <v>6.0636574074074079E-2</v>
      </c>
      <c r="I12" s="1">
        <v>6</v>
      </c>
    </row>
    <row r="13" spans="1:9" x14ac:dyDescent="0.25">
      <c r="A13" s="1">
        <v>11</v>
      </c>
      <c r="B13" s="1">
        <v>9</v>
      </c>
      <c r="C13" s="1" t="s">
        <v>46</v>
      </c>
      <c r="D13" s="1" t="s">
        <v>46</v>
      </c>
      <c r="E13" s="1" t="s">
        <v>36</v>
      </c>
      <c r="F13" s="3">
        <v>1.4274537037037036E-3</v>
      </c>
      <c r="G13" s="4">
        <f>H13-H3</f>
        <v>1.1574074074073987E-3</v>
      </c>
      <c r="H13" s="4">
        <v>6.0960648148148146E-2</v>
      </c>
      <c r="I13" s="1">
        <v>5</v>
      </c>
    </row>
    <row r="14" spans="1:9" x14ac:dyDescent="0.25">
      <c r="A14" s="5" t="s">
        <v>24</v>
      </c>
      <c r="F14" s="3"/>
      <c r="G14" s="4"/>
      <c r="H14" s="4"/>
    </row>
    <row r="15" spans="1:9" x14ac:dyDescent="0.25"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>
          <x14:formula1>
            <xm:f>Fahrerauswertung!$C$3:$C$32</xm:f>
          </x14:formula1>
          <xm:sqref>C14:C26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D14:D26</xm:sqref>
        </x14:dataValidation>
        <x14:dataValidation type="list" errorStyle="warning" allowBlank="1" showInputMessage="1" showErrorMessage="1">
          <x14:formula1>
            <xm:f>Teamauswertung!#REF!</xm:f>
          </x14:formula1>
          <xm:sqref>D3:D13</xm:sqref>
        </x14:dataValidation>
        <x14:dataValidation type="list" errorStyle="warning" allowBlank="1" showInputMessage="1" showErrorMessage="1">
          <x14:formula1>
            <xm:f>Fahrerauswertung!#REF!</xm:f>
          </x14:formula1>
          <xm:sqref>C3:C13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30"/>
  <sheetViews>
    <sheetView workbookViewId="0">
      <selection activeCell="G4" sqref="G4"/>
    </sheetView>
  </sheetViews>
  <sheetFormatPr baseColWidth="10" defaultColWidth="20.7109375" defaultRowHeight="15" x14ac:dyDescent="0.25"/>
  <cols>
    <col min="1" max="5" width="20.7109375" style="1"/>
    <col min="6" max="6" width="28.7109375" style="1" customWidth="1"/>
    <col min="7" max="7" width="37.7109375" style="1" customWidth="1"/>
    <col min="8" max="8" width="26.7109375" style="1" customWidth="1"/>
    <col min="9" max="16384" width="20.7109375" style="1"/>
  </cols>
  <sheetData>
    <row r="1" spans="1:9" x14ac:dyDescent="0.25">
      <c r="A1" s="1">
        <v>2</v>
      </c>
      <c r="E1" s="1" t="s">
        <v>76</v>
      </c>
      <c r="F1" s="1" t="s">
        <v>59</v>
      </c>
      <c r="G1" s="1" t="s">
        <v>58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2</v>
      </c>
      <c r="C3" s="1" t="s">
        <v>54</v>
      </c>
      <c r="D3" s="1" t="s">
        <v>54</v>
      </c>
      <c r="E3" s="1" t="s">
        <v>36</v>
      </c>
      <c r="F3" s="3">
        <v>1.7695601851851854E-3</v>
      </c>
      <c r="G3" s="4">
        <v>0</v>
      </c>
      <c r="H3" s="4">
        <v>6.4201388888888891E-2</v>
      </c>
      <c r="I3" s="1">
        <v>25</v>
      </c>
    </row>
    <row r="4" spans="1:9" x14ac:dyDescent="0.25">
      <c r="A4" s="1">
        <v>2</v>
      </c>
      <c r="B4" s="1">
        <v>1</v>
      </c>
      <c r="C4" s="1" t="s">
        <v>41</v>
      </c>
      <c r="D4" s="1" t="s">
        <v>53</v>
      </c>
      <c r="E4" s="1" t="s">
        <v>36</v>
      </c>
      <c r="F4" s="3">
        <v>1.7806712962962965E-3</v>
      </c>
      <c r="G4" s="4">
        <f>H4-H3</f>
        <v>3.0092592592592671E-4</v>
      </c>
      <c r="H4" s="4">
        <v>6.4502314814814818E-2</v>
      </c>
      <c r="I4" s="1">
        <v>20</v>
      </c>
    </row>
    <row r="5" spans="1:9" x14ac:dyDescent="0.25">
      <c r="A5" s="1">
        <v>3</v>
      </c>
      <c r="B5" s="1">
        <v>4</v>
      </c>
      <c r="C5" s="1" t="s">
        <v>40</v>
      </c>
      <c r="D5" s="1" t="s">
        <v>52</v>
      </c>
      <c r="E5" s="1" t="s">
        <v>36</v>
      </c>
      <c r="F5" s="3">
        <v>1.7776041666666669E-3</v>
      </c>
      <c r="G5" s="4">
        <f>H5-H3</f>
        <v>3.2407407407407385E-4</v>
      </c>
      <c r="H5" s="4">
        <v>6.4525462962962965E-2</v>
      </c>
      <c r="I5" s="1">
        <v>16</v>
      </c>
    </row>
    <row r="6" spans="1:9" x14ac:dyDescent="0.25">
      <c r="A6" s="1">
        <v>4</v>
      </c>
      <c r="B6" s="1">
        <v>3</v>
      </c>
      <c r="C6" s="1" t="s">
        <v>55</v>
      </c>
      <c r="D6" s="1" t="s">
        <v>57</v>
      </c>
      <c r="E6" s="1" t="s">
        <v>36</v>
      </c>
      <c r="F6" s="3">
        <v>1.7748032407407409E-3</v>
      </c>
      <c r="G6" s="4">
        <f>H6-H3</f>
        <v>4.5138888888889006E-4</v>
      </c>
      <c r="H6" s="4">
        <v>6.4652777777777781E-2</v>
      </c>
      <c r="I6" s="1">
        <v>13</v>
      </c>
    </row>
    <row r="7" spans="1:9" x14ac:dyDescent="0.25">
      <c r="A7" s="1">
        <v>5</v>
      </c>
      <c r="B7" s="1">
        <v>8</v>
      </c>
      <c r="C7" s="1" t="s">
        <v>37</v>
      </c>
      <c r="D7" s="1" t="s">
        <v>50</v>
      </c>
      <c r="E7" s="1" t="s">
        <v>36</v>
      </c>
      <c r="F7" s="3">
        <v>1.7835069444444443E-3</v>
      </c>
      <c r="G7" s="4">
        <f>H7-H3</f>
        <v>5.2083333333333148E-4</v>
      </c>
      <c r="H7" s="4">
        <v>6.4722222222222223E-2</v>
      </c>
      <c r="I7" s="1">
        <v>11</v>
      </c>
    </row>
    <row r="8" spans="1:9" x14ac:dyDescent="0.25">
      <c r="A8" s="1">
        <v>6</v>
      </c>
      <c r="B8" s="1">
        <v>7</v>
      </c>
      <c r="C8" s="1" t="s">
        <v>38</v>
      </c>
      <c r="D8" s="1" t="s">
        <v>51</v>
      </c>
      <c r="E8" s="1" t="s">
        <v>36</v>
      </c>
      <c r="F8" s="3">
        <v>1.7792476851851849E-3</v>
      </c>
      <c r="G8" s="4">
        <f>H8-H3</f>
        <v>6.1342592592592005E-4</v>
      </c>
      <c r="H8" s="4">
        <v>6.4814814814814811E-2</v>
      </c>
      <c r="I8" s="1">
        <v>10</v>
      </c>
    </row>
    <row r="9" spans="1:9" x14ac:dyDescent="0.25">
      <c r="A9" s="1">
        <v>7</v>
      </c>
      <c r="B9" s="1">
        <v>10</v>
      </c>
      <c r="C9" s="1" t="s">
        <v>39</v>
      </c>
      <c r="D9" s="1" t="s">
        <v>51</v>
      </c>
      <c r="E9" s="1" t="s">
        <v>36</v>
      </c>
      <c r="F9" s="3">
        <v>1.7770138888888887E-3</v>
      </c>
      <c r="G9" s="4">
        <f>H9-H3</f>
        <v>6.2500000000000056E-4</v>
      </c>
      <c r="H9" s="4">
        <v>6.4826388888888892E-2</v>
      </c>
      <c r="I9" s="1">
        <v>9</v>
      </c>
    </row>
    <row r="10" spans="1:9" x14ac:dyDescent="0.25">
      <c r="A10" s="1">
        <v>8</v>
      </c>
      <c r="B10" s="1">
        <v>6</v>
      </c>
      <c r="C10" s="1" t="s">
        <v>44</v>
      </c>
      <c r="D10" s="1" t="s">
        <v>52</v>
      </c>
      <c r="E10" s="1" t="s">
        <v>36</v>
      </c>
      <c r="F10" s="3">
        <v>1.7902083333333335E-3</v>
      </c>
      <c r="G10" s="4">
        <f>H10-H3</f>
        <v>6.7129629629629484E-4</v>
      </c>
      <c r="H10" s="4">
        <v>6.4872685185185186E-2</v>
      </c>
      <c r="I10" s="1">
        <v>8</v>
      </c>
    </row>
    <row r="11" spans="1:9" x14ac:dyDescent="0.25">
      <c r="A11" s="1">
        <v>9</v>
      </c>
      <c r="B11" s="1">
        <v>5</v>
      </c>
      <c r="C11" s="1" t="s">
        <v>42</v>
      </c>
      <c r="D11" s="1" t="s">
        <v>50</v>
      </c>
      <c r="E11" s="1" t="s">
        <v>36</v>
      </c>
      <c r="F11" s="3">
        <v>1.7959606481481483E-3</v>
      </c>
      <c r="G11" s="4">
        <f>H11-H3</f>
        <v>8.6805555555555247E-4</v>
      </c>
      <c r="H11" s="4">
        <v>6.5069444444444444E-2</v>
      </c>
      <c r="I11" s="1">
        <v>7</v>
      </c>
    </row>
    <row r="12" spans="1:9" x14ac:dyDescent="0.25">
      <c r="A12" s="1">
        <v>10</v>
      </c>
      <c r="B12" s="1">
        <v>12</v>
      </c>
      <c r="C12" s="1" t="s">
        <v>45</v>
      </c>
      <c r="D12" s="1" t="s">
        <v>53</v>
      </c>
      <c r="E12" s="1" t="s">
        <v>36</v>
      </c>
      <c r="F12" s="3" t="s">
        <v>68</v>
      </c>
      <c r="G12" s="4">
        <f>H12-H3</f>
        <v>2.3958333333333193E-3</v>
      </c>
      <c r="H12" s="4">
        <v>6.659722222222221E-2</v>
      </c>
      <c r="I12" s="1">
        <v>6</v>
      </c>
    </row>
    <row r="13" spans="1:9" x14ac:dyDescent="0.25">
      <c r="A13" s="1">
        <v>11</v>
      </c>
      <c r="B13" s="1">
        <v>11</v>
      </c>
      <c r="C13" s="1" t="s">
        <v>46</v>
      </c>
      <c r="D13" s="1" t="s">
        <v>46</v>
      </c>
      <c r="E13" s="1" t="s">
        <v>36</v>
      </c>
      <c r="F13" s="3" t="s">
        <v>69</v>
      </c>
      <c r="G13" s="4">
        <f>H13-H3</f>
        <v>3.0902777777777751E-3</v>
      </c>
      <c r="H13" s="4">
        <v>6.7291666666666666E-2</v>
      </c>
      <c r="I13" s="1">
        <v>5</v>
      </c>
    </row>
    <row r="14" spans="1:9" x14ac:dyDescent="0.25">
      <c r="A14" s="1">
        <v>12</v>
      </c>
      <c r="B14" s="1">
        <v>9</v>
      </c>
      <c r="C14" s="1" t="s">
        <v>43</v>
      </c>
      <c r="D14" s="1" t="s">
        <v>49</v>
      </c>
      <c r="E14" s="1" t="s">
        <v>36</v>
      </c>
      <c r="F14" s="3" t="s">
        <v>70</v>
      </c>
      <c r="G14" s="4" t="s">
        <v>56</v>
      </c>
      <c r="H14" s="4" t="s">
        <v>56</v>
      </c>
      <c r="I14" s="1">
        <v>4</v>
      </c>
    </row>
    <row r="15" spans="1:9" x14ac:dyDescent="0.25">
      <c r="A15" s="5" t="s">
        <v>24</v>
      </c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30"/>
  <sheetViews>
    <sheetView workbookViewId="0">
      <selection activeCell="G4" sqref="G4"/>
    </sheetView>
  </sheetViews>
  <sheetFormatPr baseColWidth="10" defaultColWidth="20.7109375" defaultRowHeight="15" x14ac:dyDescent="0.25"/>
  <cols>
    <col min="1" max="5" width="20.7109375" style="1"/>
    <col min="6" max="6" width="27.85546875" style="1" customWidth="1"/>
    <col min="7" max="7" width="34.7109375" style="1" customWidth="1"/>
    <col min="8" max="8" width="26.140625" style="1" customWidth="1"/>
    <col min="9" max="16384" width="20.7109375" style="1"/>
  </cols>
  <sheetData>
    <row r="1" spans="1:9" x14ac:dyDescent="0.25">
      <c r="A1" s="1">
        <v>3</v>
      </c>
      <c r="E1" s="1" t="s">
        <v>77</v>
      </c>
      <c r="F1" s="1" t="s">
        <v>60</v>
      </c>
      <c r="G1" s="1" t="s">
        <v>74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1</v>
      </c>
      <c r="C3" s="1" t="s">
        <v>55</v>
      </c>
      <c r="D3" s="1" t="s">
        <v>57</v>
      </c>
      <c r="E3" s="1" t="s">
        <v>36</v>
      </c>
      <c r="F3" s="3">
        <v>1.2530324074074074E-3</v>
      </c>
      <c r="G3" s="4">
        <v>0</v>
      </c>
      <c r="H3" s="4">
        <v>5.3379629629629631E-2</v>
      </c>
      <c r="I3" s="1">
        <v>25</v>
      </c>
    </row>
    <row r="4" spans="1:9" x14ac:dyDescent="0.25">
      <c r="A4" s="1">
        <v>2</v>
      </c>
      <c r="B4" s="1">
        <v>3</v>
      </c>
      <c r="C4" s="1" t="s">
        <v>37</v>
      </c>
      <c r="D4" s="1" t="s">
        <v>50</v>
      </c>
      <c r="E4" s="1" t="s">
        <v>36</v>
      </c>
      <c r="F4" s="3">
        <v>1.2618981481481481E-3</v>
      </c>
      <c r="G4" s="4">
        <f>H4-H3</f>
        <v>1.9675925925925764E-4</v>
      </c>
      <c r="H4" s="4">
        <v>5.3576388888888889E-2</v>
      </c>
      <c r="I4" s="1">
        <v>20</v>
      </c>
    </row>
    <row r="5" spans="1:9" x14ac:dyDescent="0.25">
      <c r="A5" s="1">
        <v>3</v>
      </c>
      <c r="B5" s="1">
        <v>6</v>
      </c>
      <c r="C5" s="1" t="s">
        <v>35</v>
      </c>
      <c r="D5" s="1" t="s">
        <v>49</v>
      </c>
      <c r="E5" s="1" t="s">
        <v>36</v>
      </c>
      <c r="F5" s="3">
        <v>1.2561226851851852E-3</v>
      </c>
      <c r="G5" s="4">
        <f>H5-H3</f>
        <v>3.9351851851852221E-4</v>
      </c>
      <c r="H5" s="4">
        <v>5.3773148148148153E-2</v>
      </c>
      <c r="I5" s="1">
        <v>16</v>
      </c>
    </row>
    <row r="6" spans="1:9" x14ac:dyDescent="0.25">
      <c r="A6" s="1">
        <v>4</v>
      </c>
      <c r="B6" s="1">
        <v>4</v>
      </c>
      <c r="C6" s="1" t="s">
        <v>43</v>
      </c>
      <c r="D6" s="1" t="s">
        <v>49</v>
      </c>
      <c r="E6" s="1" t="s">
        <v>36</v>
      </c>
      <c r="F6" s="3">
        <v>1.263148148148148E-3</v>
      </c>
      <c r="G6" s="4">
        <f>H6-H3</f>
        <v>5.4398148148147862E-4</v>
      </c>
      <c r="H6" s="4">
        <v>5.392361111111111E-2</v>
      </c>
      <c r="I6" s="1">
        <v>13</v>
      </c>
    </row>
    <row r="7" spans="1:9" x14ac:dyDescent="0.25">
      <c r="A7" s="1">
        <v>5</v>
      </c>
      <c r="B7" s="1">
        <v>7</v>
      </c>
      <c r="C7" s="1" t="s">
        <v>40</v>
      </c>
      <c r="D7" s="1" t="s">
        <v>52</v>
      </c>
      <c r="E7" s="1" t="s">
        <v>36</v>
      </c>
      <c r="F7" s="3">
        <v>1.2651273148148148E-3</v>
      </c>
      <c r="G7" s="4">
        <f>H7-H3</f>
        <v>5.7870370370369933E-4</v>
      </c>
      <c r="H7" s="4">
        <v>5.395833333333333E-2</v>
      </c>
      <c r="I7" s="1">
        <v>11</v>
      </c>
    </row>
    <row r="8" spans="1:9" x14ac:dyDescent="0.25">
      <c r="A8" s="1">
        <v>6</v>
      </c>
      <c r="B8" s="1">
        <v>5</v>
      </c>
      <c r="C8" s="1" t="s">
        <v>42</v>
      </c>
      <c r="D8" s="1" t="s">
        <v>50</v>
      </c>
      <c r="E8" s="1" t="s">
        <v>36</v>
      </c>
      <c r="F8" s="3">
        <v>1.258148148148148E-3</v>
      </c>
      <c r="G8" s="4">
        <f>H8-H3</f>
        <v>6.481481481481477E-4</v>
      </c>
      <c r="H8" s="4">
        <v>5.4027777777777779E-2</v>
      </c>
      <c r="I8" s="1">
        <v>10</v>
      </c>
    </row>
    <row r="9" spans="1:9" x14ac:dyDescent="0.25">
      <c r="A9" s="1">
        <v>7</v>
      </c>
      <c r="B9" s="1">
        <v>2</v>
      </c>
      <c r="C9" s="1" t="s">
        <v>71</v>
      </c>
      <c r="D9" s="1" t="s">
        <v>71</v>
      </c>
      <c r="E9" s="1" t="s">
        <v>36</v>
      </c>
      <c r="F9" s="3">
        <v>1.2587268518518518E-3</v>
      </c>
      <c r="G9" s="4">
        <f>H9-H3</f>
        <v>7.407407407407432E-4</v>
      </c>
      <c r="H9" s="4">
        <v>5.4120370370370374E-2</v>
      </c>
      <c r="I9" s="1">
        <v>9</v>
      </c>
    </row>
    <row r="10" spans="1:9" x14ac:dyDescent="0.25">
      <c r="A10" s="1">
        <v>8</v>
      </c>
      <c r="B10" s="1">
        <v>12</v>
      </c>
      <c r="C10" s="1" t="s">
        <v>41</v>
      </c>
      <c r="D10" s="1" t="s">
        <v>53</v>
      </c>
      <c r="E10" s="1" t="s">
        <v>36</v>
      </c>
      <c r="F10" s="3">
        <v>1.2602662037037035E-3</v>
      </c>
      <c r="G10" s="4">
        <f>H10-H3</f>
        <v>8.4490740740740533E-4</v>
      </c>
      <c r="H10" s="4">
        <v>5.4224537037037036E-2</v>
      </c>
      <c r="I10" s="1">
        <v>8</v>
      </c>
    </row>
    <row r="11" spans="1:9" x14ac:dyDescent="0.25">
      <c r="A11" s="1">
        <v>9</v>
      </c>
      <c r="B11" s="1">
        <v>10</v>
      </c>
      <c r="C11" s="1" t="s">
        <v>38</v>
      </c>
      <c r="D11" s="1" t="s">
        <v>51</v>
      </c>
      <c r="E11" s="1" t="s">
        <v>36</v>
      </c>
      <c r="F11" s="3">
        <v>1.2633333333333333E-3</v>
      </c>
      <c r="G11" s="4">
        <f>H11-H3</f>
        <v>9.1435185185185369E-4</v>
      </c>
      <c r="H11" s="4">
        <v>5.4293981481481485E-2</v>
      </c>
      <c r="I11" s="1">
        <v>7</v>
      </c>
    </row>
    <row r="12" spans="1:9" x14ac:dyDescent="0.25">
      <c r="A12" s="1">
        <v>10</v>
      </c>
      <c r="B12" s="1">
        <v>13</v>
      </c>
      <c r="C12" s="1" t="s">
        <v>39</v>
      </c>
      <c r="D12" s="1" t="s">
        <v>51</v>
      </c>
      <c r="E12" s="1" t="s">
        <v>36</v>
      </c>
      <c r="F12" s="3">
        <v>1.2644212962962963E-3</v>
      </c>
      <c r="G12" s="4">
        <f>H12-H3</f>
        <v>1.2615740740740747E-3</v>
      </c>
      <c r="H12" s="4">
        <v>5.4641203703703706E-2</v>
      </c>
      <c r="I12" s="1">
        <v>6</v>
      </c>
    </row>
    <row r="13" spans="1:9" x14ac:dyDescent="0.25">
      <c r="A13" s="1">
        <v>11</v>
      </c>
      <c r="B13" s="1">
        <v>11</v>
      </c>
      <c r="C13" s="1" t="s">
        <v>72</v>
      </c>
      <c r="D13" s="1" t="s">
        <v>57</v>
      </c>
      <c r="E13" s="1" t="s">
        <v>36</v>
      </c>
      <c r="F13" s="3">
        <v>1.2665162037037037E-3</v>
      </c>
      <c r="G13" s="4">
        <f>H13-H3</f>
        <v>1.6435185185185164E-3</v>
      </c>
      <c r="H13" s="4">
        <v>5.5023148148148147E-2</v>
      </c>
      <c r="I13" s="1">
        <v>5</v>
      </c>
    </row>
    <row r="14" spans="1:9" x14ac:dyDescent="0.25">
      <c r="A14" s="1">
        <v>12</v>
      </c>
      <c r="B14" s="1">
        <v>8</v>
      </c>
      <c r="C14" s="1" t="s">
        <v>44</v>
      </c>
      <c r="D14" s="1" t="s">
        <v>52</v>
      </c>
      <c r="E14" s="1" t="s">
        <v>36</v>
      </c>
      <c r="F14" s="3">
        <v>1.270636574074074E-3</v>
      </c>
      <c r="G14" s="4">
        <f>H14-H3</f>
        <v>1.8634259259259281E-3</v>
      </c>
      <c r="H14" s="4">
        <v>5.5243055555555559E-2</v>
      </c>
      <c r="I14" s="1">
        <v>4</v>
      </c>
    </row>
    <row r="15" spans="1:9" x14ac:dyDescent="0.25">
      <c r="A15" s="1">
        <v>13</v>
      </c>
      <c r="B15" s="1">
        <v>9</v>
      </c>
      <c r="C15" s="1" t="s">
        <v>45</v>
      </c>
      <c r="D15" s="1" t="s">
        <v>53</v>
      </c>
      <c r="E15" s="1" t="s">
        <v>36</v>
      </c>
      <c r="F15" s="3">
        <v>1.2787268518518519E-3</v>
      </c>
      <c r="G15" s="4">
        <f>H15-H3</f>
        <v>3.9930555555555552E-3</v>
      </c>
      <c r="H15" s="4">
        <v>5.7372685185185186E-2</v>
      </c>
      <c r="I15" s="1">
        <v>3</v>
      </c>
    </row>
    <row r="16" spans="1:9" x14ac:dyDescent="0.25">
      <c r="A16" s="1">
        <v>14</v>
      </c>
      <c r="B16" s="1">
        <v>14</v>
      </c>
      <c r="C16" s="1" t="s">
        <v>73</v>
      </c>
      <c r="D16" s="1" t="s">
        <v>73</v>
      </c>
      <c r="E16" s="1" t="s">
        <v>36</v>
      </c>
      <c r="F16" s="3">
        <v>1.280636574074074E-3</v>
      </c>
      <c r="G16" s="4" t="s">
        <v>56</v>
      </c>
      <c r="H16" s="4" t="s">
        <v>56</v>
      </c>
      <c r="I16" s="1">
        <v>2</v>
      </c>
    </row>
    <row r="17" spans="1:9" x14ac:dyDescent="0.25">
      <c r="A17" s="5" t="s">
        <v>24</v>
      </c>
      <c r="F17" s="3"/>
      <c r="G17" s="4"/>
      <c r="H17" s="4"/>
    </row>
    <row r="18" spans="1:9" x14ac:dyDescent="0.25">
      <c r="F18" s="3"/>
      <c r="G18" s="4"/>
      <c r="H18" s="4"/>
    </row>
    <row r="19" spans="1:9" x14ac:dyDescent="0.25">
      <c r="F19" s="3"/>
      <c r="G19" s="4"/>
      <c r="H19" s="4"/>
    </row>
    <row r="20" spans="1:9" x14ac:dyDescent="0.25">
      <c r="F20" s="3"/>
      <c r="G20" s="4"/>
      <c r="H20" s="4"/>
    </row>
    <row r="21" spans="1:9" x14ac:dyDescent="0.25">
      <c r="F21" s="3"/>
      <c r="G21" s="4"/>
      <c r="H21" s="4"/>
    </row>
    <row r="22" spans="1:9" x14ac:dyDescent="0.25">
      <c r="F22" s="3"/>
      <c r="G22" s="4"/>
      <c r="H22" s="4"/>
    </row>
    <row r="23" spans="1:9" x14ac:dyDescent="0.25">
      <c r="F23" s="3"/>
      <c r="G23" s="4"/>
      <c r="H23" s="4"/>
    </row>
    <row r="24" spans="1:9" x14ac:dyDescent="0.25">
      <c r="F24" s="3"/>
      <c r="G24" s="4"/>
      <c r="H24" s="4"/>
    </row>
    <row r="25" spans="1:9" x14ac:dyDescent="0.25">
      <c r="F25" s="3"/>
      <c r="G25" s="4"/>
      <c r="H25" s="4"/>
    </row>
    <row r="26" spans="1:9" x14ac:dyDescent="0.25">
      <c r="F26" s="3"/>
      <c r="G26" s="4"/>
      <c r="H26" s="4"/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30"/>
  <sheetViews>
    <sheetView workbookViewId="0">
      <selection activeCell="G4" sqref="G4"/>
    </sheetView>
  </sheetViews>
  <sheetFormatPr baseColWidth="10" defaultColWidth="20.7109375" defaultRowHeight="15" x14ac:dyDescent="0.25"/>
  <cols>
    <col min="1" max="5" width="20.7109375" style="1"/>
    <col min="6" max="6" width="32.5703125" style="1" customWidth="1"/>
    <col min="7" max="16384" width="20.7109375" style="1"/>
  </cols>
  <sheetData>
    <row r="1" spans="1:9" x14ac:dyDescent="0.25">
      <c r="A1" s="1">
        <v>4</v>
      </c>
      <c r="E1" s="1" t="s">
        <v>78</v>
      </c>
      <c r="F1" s="1" t="s">
        <v>61</v>
      </c>
      <c r="G1" s="1" t="s">
        <v>91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2</v>
      </c>
      <c r="C3" s="1" t="s">
        <v>37</v>
      </c>
      <c r="D3" s="1" t="s">
        <v>50</v>
      </c>
      <c r="E3" s="1" t="s">
        <v>36</v>
      </c>
      <c r="F3" s="3">
        <v>1.1906365740740742E-3</v>
      </c>
      <c r="G3" s="4">
        <v>0</v>
      </c>
      <c r="H3" s="4">
        <v>5.092592592592593E-2</v>
      </c>
      <c r="I3" s="1">
        <v>25</v>
      </c>
    </row>
    <row r="4" spans="1:9" x14ac:dyDescent="0.25">
      <c r="A4" s="1">
        <v>2</v>
      </c>
      <c r="B4" s="1">
        <v>6</v>
      </c>
      <c r="C4" s="1" t="s">
        <v>41</v>
      </c>
      <c r="D4" s="1" t="s">
        <v>53</v>
      </c>
      <c r="E4" s="1" t="s">
        <v>36</v>
      </c>
      <c r="F4" s="3">
        <v>1.1894560185185185E-3</v>
      </c>
      <c r="G4" s="4">
        <f>H4-H3</f>
        <v>1.1574074074074264E-4</v>
      </c>
      <c r="H4" s="4">
        <v>5.1041666666666673E-2</v>
      </c>
      <c r="I4" s="1">
        <v>20</v>
      </c>
    </row>
    <row r="5" spans="1:9" x14ac:dyDescent="0.25">
      <c r="A5" s="1">
        <v>3</v>
      </c>
      <c r="B5" s="1">
        <v>13</v>
      </c>
      <c r="C5" s="1" t="s">
        <v>35</v>
      </c>
      <c r="D5" s="1" t="s">
        <v>49</v>
      </c>
      <c r="E5" s="1" t="s">
        <v>36</v>
      </c>
      <c r="F5" s="3">
        <v>1.19125E-3</v>
      </c>
      <c r="G5" s="4">
        <f>H5-H3</f>
        <v>1.3888888888888284E-4</v>
      </c>
      <c r="H5" s="4">
        <v>5.1064814814814813E-2</v>
      </c>
      <c r="I5" s="1">
        <v>16</v>
      </c>
    </row>
    <row r="6" spans="1:9" x14ac:dyDescent="0.25">
      <c r="A6" s="1">
        <v>4</v>
      </c>
      <c r="B6" s="1">
        <v>9</v>
      </c>
      <c r="C6" s="1" t="s">
        <v>39</v>
      </c>
      <c r="D6" s="1" t="s">
        <v>51</v>
      </c>
      <c r="E6" s="1" t="s">
        <v>36</v>
      </c>
      <c r="F6" s="3">
        <v>1.1915162037037037E-3</v>
      </c>
      <c r="G6" s="4">
        <f>H6-H3</f>
        <v>3.5879629629629456E-4</v>
      </c>
      <c r="H6" s="4">
        <v>5.1284722222222225E-2</v>
      </c>
      <c r="I6" s="1">
        <v>13</v>
      </c>
    </row>
    <row r="7" spans="1:9" x14ac:dyDescent="0.25">
      <c r="A7" s="1">
        <v>5</v>
      </c>
      <c r="B7" s="1">
        <v>5</v>
      </c>
      <c r="C7" s="1" t="s">
        <v>42</v>
      </c>
      <c r="D7" s="1" t="s">
        <v>50</v>
      </c>
      <c r="E7" s="1" t="s">
        <v>36</v>
      </c>
      <c r="F7" s="3">
        <v>1.1967245370370369E-3</v>
      </c>
      <c r="G7" s="4">
        <f>H7-H3</f>
        <v>4.6296296296296363E-4</v>
      </c>
      <c r="H7" s="4">
        <v>5.1388888888888894E-2</v>
      </c>
      <c r="I7" s="1">
        <v>11</v>
      </c>
    </row>
    <row r="8" spans="1:9" x14ac:dyDescent="0.25">
      <c r="A8" s="1">
        <v>6</v>
      </c>
      <c r="B8" s="1">
        <v>7</v>
      </c>
      <c r="C8" s="1" t="s">
        <v>44</v>
      </c>
      <c r="D8" s="1" t="s">
        <v>52</v>
      </c>
      <c r="E8" s="1" t="s">
        <v>36</v>
      </c>
      <c r="F8" s="3">
        <v>1.1979976851851852E-3</v>
      </c>
      <c r="G8" s="4">
        <f>H8-H3</f>
        <v>4.6296296296296363E-4</v>
      </c>
      <c r="H8" s="4">
        <v>5.1388888888888894E-2</v>
      </c>
      <c r="I8" s="1">
        <v>10</v>
      </c>
    </row>
    <row r="9" spans="1:9" x14ac:dyDescent="0.25">
      <c r="A9" s="1">
        <v>7</v>
      </c>
      <c r="B9" s="1">
        <v>8</v>
      </c>
      <c r="C9" s="1" t="s">
        <v>72</v>
      </c>
      <c r="D9" s="1" t="s">
        <v>57</v>
      </c>
      <c r="E9" s="1" t="s">
        <v>36</v>
      </c>
      <c r="F9" s="3">
        <v>1.1997337962962962E-3</v>
      </c>
      <c r="G9" s="4">
        <f>H9-H3</f>
        <v>5.5555555555555219E-4</v>
      </c>
      <c r="H9" s="4">
        <v>5.1481481481481482E-2</v>
      </c>
      <c r="I9" s="1">
        <v>9</v>
      </c>
    </row>
    <row r="10" spans="1:9" x14ac:dyDescent="0.25">
      <c r="A10" s="1">
        <v>8</v>
      </c>
      <c r="B10" s="1">
        <v>12</v>
      </c>
      <c r="C10" s="1" t="s">
        <v>45</v>
      </c>
      <c r="D10" s="1" t="s">
        <v>53</v>
      </c>
      <c r="E10" s="1" t="s">
        <v>36</v>
      </c>
      <c r="F10" s="3">
        <v>1.2061689814814815E-3</v>
      </c>
      <c r="G10" s="4">
        <f>H10-H3</f>
        <v>9.722222222222146E-4</v>
      </c>
      <c r="H10" s="4">
        <v>5.1898148148148145E-2</v>
      </c>
      <c r="I10" s="1">
        <v>8</v>
      </c>
    </row>
    <row r="11" spans="1:9" x14ac:dyDescent="0.25">
      <c r="A11" s="1">
        <v>9</v>
      </c>
      <c r="B11" s="1">
        <v>10</v>
      </c>
      <c r="C11" s="1" t="s">
        <v>46</v>
      </c>
      <c r="D11" s="1" t="s">
        <v>46</v>
      </c>
      <c r="E11" s="1" t="s">
        <v>36</v>
      </c>
      <c r="F11" s="3">
        <v>1.2121874999999999E-3</v>
      </c>
      <c r="G11" s="4">
        <f>H11-H3</f>
        <v>1.2152777777777735E-3</v>
      </c>
      <c r="H11" s="4">
        <v>5.2141203703703703E-2</v>
      </c>
      <c r="I11" s="1">
        <v>7</v>
      </c>
    </row>
    <row r="12" spans="1:9" x14ac:dyDescent="0.25">
      <c r="A12" s="1">
        <v>10</v>
      </c>
      <c r="B12" s="1">
        <v>1</v>
      </c>
      <c r="C12" s="1" t="s">
        <v>55</v>
      </c>
      <c r="D12" s="1" t="s">
        <v>57</v>
      </c>
      <c r="E12" s="1" t="s">
        <v>36</v>
      </c>
      <c r="F12" s="3">
        <v>1.1922569444444444E-3</v>
      </c>
      <c r="G12" s="4" t="s">
        <v>56</v>
      </c>
      <c r="H12" s="4" t="s">
        <v>56</v>
      </c>
      <c r="I12" s="1">
        <v>6</v>
      </c>
    </row>
    <row r="13" spans="1:9" x14ac:dyDescent="0.25">
      <c r="A13" s="1">
        <v>11</v>
      </c>
      <c r="B13" s="1">
        <v>4</v>
      </c>
      <c r="C13" s="1" t="s">
        <v>40</v>
      </c>
      <c r="D13" s="1" t="s">
        <v>52</v>
      </c>
      <c r="E13" s="1" t="s">
        <v>36</v>
      </c>
      <c r="F13" s="3">
        <v>1.1943055555555554E-3</v>
      </c>
      <c r="G13" s="4" t="s">
        <v>56</v>
      </c>
      <c r="H13" s="4" t="s">
        <v>56</v>
      </c>
      <c r="I13" s="1">
        <v>5</v>
      </c>
    </row>
    <row r="14" spans="1:9" x14ac:dyDescent="0.25">
      <c r="A14" s="1">
        <v>12</v>
      </c>
      <c r="B14" s="1">
        <v>3</v>
      </c>
      <c r="C14" s="1" t="s">
        <v>38</v>
      </c>
      <c r="D14" s="1" t="s">
        <v>51</v>
      </c>
      <c r="E14" s="1" t="s">
        <v>36</v>
      </c>
      <c r="F14" s="3">
        <v>1.7512962962962966E-3</v>
      </c>
      <c r="G14" s="4" t="s">
        <v>56</v>
      </c>
      <c r="H14" s="4" t="s">
        <v>56</v>
      </c>
      <c r="I14" s="1">
        <v>4</v>
      </c>
    </row>
    <row r="15" spans="1:9" x14ac:dyDescent="0.25">
      <c r="A15" s="5" t="s">
        <v>24</v>
      </c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30.5703125" style="1" customWidth="1"/>
    <col min="7" max="16384" width="20.7109375" style="1"/>
  </cols>
  <sheetData>
    <row r="1" spans="1:9" x14ac:dyDescent="0.25">
      <c r="A1" s="1">
        <v>5</v>
      </c>
      <c r="E1" s="1" t="s">
        <v>79</v>
      </c>
      <c r="F1" s="1" t="s">
        <v>62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28" style="1" customWidth="1"/>
    <col min="7" max="16384" width="20.7109375" style="1"/>
  </cols>
  <sheetData>
    <row r="1" spans="1:9" x14ac:dyDescent="0.25">
      <c r="A1" s="1">
        <v>6</v>
      </c>
      <c r="E1" s="1" t="s">
        <v>80</v>
      </c>
      <c r="F1" s="1" t="s">
        <v>63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27.7109375" style="1" customWidth="1"/>
    <col min="7" max="16384" width="20.7109375" style="1"/>
  </cols>
  <sheetData>
    <row r="1" spans="1:9" x14ac:dyDescent="0.25">
      <c r="A1" s="1">
        <v>7</v>
      </c>
      <c r="E1" s="1" t="s">
        <v>81</v>
      </c>
      <c r="F1" s="1" t="s">
        <v>64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31.140625" style="1" customWidth="1"/>
    <col min="7" max="16384" width="20.7109375" style="1"/>
  </cols>
  <sheetData>
    <row r="1" spans="1:9" x14ac:dyDescent="0.25">
      <c r="A1" s="1">
        <v>8</v>
      </c>
      <c r="E1" s="1" t="s">
        <v>82</v>
      </c>
      <c r="F1" s="1" t="s">
        <v>65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28.5703125" style="1" customWidth="1"/>
    <col min="7" max="16384" width="20.7109375" style="1"/>
  </cols>
  <sheetData>
    <row r="1" spans="1:9" x14ac:dyDescent="0.25">
      <c r="A1" s="1">
        <v>9</v>
      </c>
      <c r="E1" s="1" t="s">
        <v>83</v>
      </c>
      <c r="F1" s="1" t="s">
        <v>66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4" width="20.7109375" style="1"/>
    <col min="5" max="5" width="26.140625" style="1" customWidth="1"/>
    <col min="6" max="6" width="35.7109375" style="1" customWidth="1"/>
    <col min="7" max="16384" width="20.7109375" style="1"/>
  </cols>
  <sheetData>
    <row r="1" spans="1:9" x14ac:dyDescent="0.25">
      <c r="A1" s="1">
        <v>10</v>
      </c>
      <c r="E1" s="1" t="s">
        <v>84</v>
      </c>
      <c r="F1" s="1" t="s">
        <v>67</v>
      </c>
    </row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36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36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36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36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36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36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36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36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36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36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36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36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36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36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36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36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36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36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36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36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36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36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2:I30"/>
  <sheetViews>
    <sheetView workbookViewId="0"/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26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35</vt:i4>
      </vt:variant>
    </vt:vector>
  </HeadingPairs>
  <TitlesOfParts>
    <vt:vector size="35" baseType="lpstr">
      <vt:lpstr>Information</vt:lpstr>
      <vt:lpstr>Fahrerwertung</vt:lpstr>
      <vt:lpstr>Fahrerauswertung</vt:lpstr>
      <vt:lpstr>Teamwertung</vt:lpstr>
      <vt:lpstr>Teamauswertung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  <vt:lpstr>Rennen 11</vt:lpstr>
      <vt:lpstr>Rennen 12</vt:lpstr>
      <vt:lpstr>Rennen 13</vt:lpstr>
      <vt:lpstr>Rennen 14</vt:lpstr>
      <vt:lpstr>Rennen 15</vt:lpstr>
      <vt:lpstr>Rennen 16</vt:lpstr>
      <vt:lpstr>Rennen 17</vt:lpstr>
      <vt:lpstr>Rennen 18</vt:lpstr>
      <vt:lpstr>Rennen 19</vt:lpstr>
      <vt:lpstr>Rennen 20</vt:lpstr>
      <vt:lpstr>Rennen 21</vt:lpstr>
      <vt:lpstr>Rennen 22</vt:lpstr>
      <vt:lpstr>Rennen 23</vt:lpstr>
      <vt:lpstr>Rennen 24</vt:lpstr>
      <vt:lpstr>Rennen 25</vt:lpstr>
      <vt:lpstr>Rennen 26</vt:lpstr>
      <vt:lpstr>Rennen 27</vt:lpstr>
      <vt:lpstr>Rennen 28</vt:lpstr>
      <vt:lpstr>Rennen 29</vt:lpstr>
      <vt:lpstr>Rennen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2016-08-14T06:45:10Z</dcterms:modified>
</cp:coreProperties>
</file>